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gabrieletirrito/Downloads/"/>
    </mc:Choice>
  </mc:AlternateContent>
  <xr:revisionPtr revIDLastSave="0" documentId="13_ncr:1_{BAFA3739-D985-6F47-91F6-34DFF7C03569}" xr6:coauthVersionLast="47" xr6:coauthVersionMax="47" xr10:uidLastSave="{00000000-0000-0000-0000-000000000000}"/>
  <bookViews>
    <workbookView xWindow="0" yWindow="740" windowWidth="29400" windowHeight="18380" xr2:uid="{00000000-000D-0000-FFFF-FFFF00000000}"/>
  </bookViews>
  <sheets>
    <sheet name="dataset.xlsx" sheetId="1" r:id="rId1"/>
  </sheets>
  <definedNames>
    <definedName name="_xlnm._FilterDatabase" localSheetId="0" hidden="1">dataset.xlsx!$A$1:$AQ$174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alcChain>
</file>

<file path=xl/sharedStrings.xml><?xml version="1.0" encoding="utf-8"?>
<sst xmlns="http://schemas.openxmlformats.org/spreadsheetml/2006/main" count="4258" uniqueCount="347">
  <si>
    <t>id</t>
  </si>
  <si>
    <t>profile</t>
  </si>
  <si>
    <t>discrepanze_rilevate</t>
  </si>
  <si>
    <t>motivazioni_discrepanze</t>
  </si>
  <si>
    <t>radiologist</t>
  </si>
  <si>
    <t>patient_id</t>
  </si>
  <si>
    <t>sesso</t>
  </si>
  <si>
    <t>data_nascita</t>
  </si>
  <si>
    <t>interpretazioni</t>
  </si>
  <si>
    <t>report_text</t>
  </si>
  <si>
    <t>morfologia</t>
  </si>
  <si>
    <t>ore_inizio</t>
  </si>
  <si>
    <t>ore_fine</t>
  </si>
  <si>
    <t>dimensione_dll</t>
  </si>
  <si>
    <t>dimensione_dap</t>
  </si>
  <si>
    <t>spessore_parietale</t>
  </si>
  <si>
    <t>estensione_cranio_caudale</t>
  </si>
  <si>
    <t>distanza_oai</t>
  </si>
  <si>
    <t>posizione</t>
  </si>
  <si>
    <t>carcinosi_peritoneale</t>
  </si>
  <si>
    <t>lesioni_ossee</t>
  </si>
  <si>
    <t>stadio_T</t>
  </si>
  <si>
    <t>stadio_N</t>
  </si>
  <si>
    <t>stadio_N1c</t>
  </si>
  <si>
    <t>mrf</t>
  </si>
  <si>
    <t>emvi</t>
  </si>
  <si>
    <t>metastasi</t>
  </si>
  <si>
    <t>motivazioni_extra</t>
  </si>
  <si>
    <t>riflessione_peritoneale_anteriore</t>
  </si>
  <si>
    <t>infiltrazione_tessuto_adiposo</t>
  </si>
  <si>
    <t>infiltrazione_sfinteri</t>
  </si>
  <si>
    <t>infiltrazione_organi_extra</t>
  </si>
  <si>
    <t>infiltrazione_organi_dettagli</t>
  </si>
  <si>
    <t>coinvolgimento_riflessione_peritoneale</t>
  </si>
  <si>
    <t>coinvolgimento_fascia_mesorettale</t>
  </si>
  <si>
    <t>distanza_minima_fascia_ore</t>
  </si>
  <si>
    <t>linfonodi_sospetti</t>
  </si>
  <si>
    <t>sedi_locoregionali</t>
  </si>
  <si>
    <t>sedi_non_locoregionali</t>
  </si>
  <si>
    <t>depositi_tumorali</t>
  </si>
  <si>
    <t>numero_depositi</t>
  </si>
  <si>
    <t>emvi_esteso</t>
  </si>
  <si>
    <t>status</t>
  </si>
  <si>
    <t>PietroPaoloAzzaro</t>
  </si>
  <si>
    <t>['nessuna']</t>
  </si>
  <si>
    <t>nessuna</t>
  </si>
  <si>
    <t>M</t>
  </si>
  <si>
    <t>- INCONGRUENZA: RETTO MEDIO-BASSO in referto, RETTO MEDIO-ALTO in conclusione
- T4 in conclusione: non Ã¨ chiaro se intende T4a perchÃ¨ considera coinvolgimento del peritoneo in alto, oppure se si tratta sempre di MRF, considerato che non abbiamo altre info sul T, mettiamo classe piÃ¹ bassa T4a
-non avevi inserito "Distanza piÃ¹ breve fra tumore e fascia mesorettale: ore 8"
-avevi inserito 4 a "Numero linfonodi regionali sospetti", ma il numero non Ã¨ specificato, abbiamo solo N2 ma non un numero preciso perciÃ² non sappiamo se N2a o N2b, mettiamo classe piu bassa N2a</t>
  </si>
  <si>
    <t>RM ADDOME INFERIORE (S/C MDC)
L'ESAME E STATO ESEGUITO MEDINTE SEQUENZE FSE,DWI, MIRATO ALLA STADIAZIONE LOCALE DELLA NEOPLASIA RETTALE .
IN CORRISPONDENZA DELLA PARETE POSTEROLATERALE SINISTRA DEL RETTO MEDIO-BASSO SI SEGNALA FORMAZIONE AGGETTANTE CHE DA CIRCA 5 CM DALLO SFINTERE ANALE INTERNO SI ESTENDE CRANIALMENTE PER CIRCA 5 CM, OCCUPA 2/4 DELLE CIRCONFERENZA DEL LUME , INVIA DIGIRTAZIONI POLIPOIDI NEL MESORETTO POSTERIORE IN CONTINUITA CON DEPOSITI TUMORALI CHE AVVOLGONO A COLATA ED INGLOBANO I VASI EMORROIDARI SUPERIORI FINO AL PROMONTORIO SACRALE E RETRAGGONO LA FASCIA PERIRETTALE -PRESACRALE DALLE ORE 4 ALLE ORE 6.
ADESA ALLA FASCIA PERIRETTALE, ALLE ORE 7-8, E PRESENTE UNA LINFOADENOMEGALIA SEDE DI MALATTIA CON ASSE CORTO DI CIRCA 8 MM . ALTRI LINFONODI SOSPETTI SONO PRESENTI NEL MESORETTO ED UNO IN SEDE EXTRAMESORETATLE A SINISTRA ALLE ORE 4 ADESO ALLA FASCIA PERIRETTALE, AL SUO ESTERNO .
CISTI RADICOLARI AI LIVELLI S2 E S3.
CONCLUSIONI: STADIAZIONE LOCALE  NEOPLASIA DEL RETTO MEDIO-ALTO T4 N2MRF + EMVI</t>
  </si>
  <si>
    <t>solido_polipoide</t>
  </si>
  <si>
    <t>medio</t>
  </si>
  <si>
    <t>T4a</t>
  </si>
  <si>
    <t>N2a</t>
  </si>
  <si>
    <t>+</t>
  </si>
  <si>
    <t>no</t>
  </si>
  <si>
    <t>si</t>
  </si>
  <si>
    <t>['mesorettali', 'sacrali', 'mesenterici_inferiori']</t>
  </si>
  <si>
    <t>[]</t>
  </si>
  <si>
    <t>complete</t>
  </si>
  <si>
    <t>F</t>
  </si>
  <si>
    <t>RM ADDOME INFERIORE
L'ESAME E STATO ESEGUITO MEDIANTE SEQUENZE FSE,DWI.
SI SEGNALA ISPESSIMENTO PARIETALE CONCENTRICO DEL RETTO MEDIO-ALTO CHE SI ESTENDE DA CIRCA 5 CM DALLO SFINTERE ANALE INTERNO CRANIALMENTE PER CIRCA 8,5 CM.
L' ISPESSIMENTO PARIETALE, MODERATAMENTE IPERINTENSO ALLE SEQUENZE T2-DIPENDENTI , RETRAE IN UN PUNTO IL PERITONEO E CON UNA DIGITAZIONE RAGGIUNGE IL COLLO UTERINO.
UTERO IN ATROFIA POST-MENOPAUSALE.
NEL CANALE CERVICALE E PRESENTE UNA FALDA FLUIDA.
NEL MESORETTO E LUNGO I VASI EMORROIDARI SUPERIORI SONO PRESENTI LINFONODI SOPSETTI IN NUMERO SUPERIORE A TRE , I MAGGIORI CON ASSE CORTO DI CIRCA 7 MM.
LINFONODI DI NATURA ASPECIFICA IN SEDE INGUINALE BILATERALE.
STADIAZIONE RM T4BN2</t>
  </si>
  <si>
    <t>solido_anulare</t>
  </si>
  <si>
    <t>alto</t>
  </si>
  <si>
    <t>T4b</t>
  </si>
  <si>
    <t>-</t>
  </si>
  <si>
    <t>cavallo</t>
  </si>
  <si>
    <t>si_5mm_plus</t>
  </si>
  <si>
    <t>{'altro': 'collo uterino', 'utero': True}</t>
  </si>
  <si>
    <t>['mesorettali', 'mesenterici_inferiori']</t>
  </si>
  <si>
    <t>RM ADDOME INFERIORE (S/C MDC)
L'ESAME E STATO ESEGUITO MEDIANTE SEQUENZE FSE,DWI,DISCO DOPO MDC.
IN CORRISPONDENZA DELLA PARETE ANTERIORE DEL RETTO MEDIO, DA CIRCA 5 CM DALLO SFINTERE ANALE INTERNO CON ESTENSIONE CRANIALE PER CIRCA 3 CM , SI SEGNALA FORMAZIONE AGGETTANTE CHE OCCUPA 2/4 DELLA CIRCONFERENZA DEL LUME ED INVIA DIGITAZIONI NEL MESORETTO. 
NEL MESORETTO SONO PRESENTI TRE LINFONODI SOSPETTI; LUNGO I VASI ILIACI INTERNI DI DESTRA E PRESENTE  UN LINFONODO DEL DIAMETRO DI CIRCA 7 MM.
DIFFUSO ISPESSIMENTO DELLE PARETI DELLA VESCICA.
DIAMETRO TRASVERSO DELLA PROSTATA DI CIRCA 5 CM. 
IN SEDE INGUINALE SINISTRA SONO PRESENTI DUE INFONODI DEL DIAMTERO RISPETTIVAMENTE DI CIRCA 1 CM, DISOMOGENEI.
CONCLUSIONI: STADIAZIONE RM T3 N2 I LINFONODI INGUINALI NON SONO CORRELABILI CON CERTEZZA ALLA NEOPLASIA RETTALE.</t>
  </si>
  <si>
    <t>T3cd</t>
  </si>
  <si>
    <t>['mesorettali', 'iliaci_interni']</t>
  </si>
  <si>
    <t>['inguinali']</t>
  </si>
  <si>
    <t>RM ADDOME INFERIORE (S/C MDC)
L'ESAME E STATO ESEGUITO MEDIANTE SEQUENZE FSE, DWI, DISCO DOPO MDC.   
IN CORRISPONDENZA DEL RETTO MEDIO-ALTO SI SEGNALA FORMAZIONE AGGETTANTE CHE DA CIRCA 7 CM DALLO SFINTERE ANALE INTERNO SI ESTENDE CRANIALMENTE PER CIRCA 4,9 CM 
LA LESIONE MODERATAMENTE IPERINTENSA NELLE SEQUENZE T2-DIPENDENTI INTERESSA CIRCONFERENZIALMENTE IL LUME CON DIGITAZIONI NEL GRASSO PERIRETTALE CHE IN UN PUNTO RETRAE IL PERITONEO.
NEL TESSUTO ADIPOSO PERIRETTALE SONO PRESENTI LINFONODI IN NUMERO SUPERIORI A TRE UNO DEI QUALI DEL DIAMETRO DI CIRCA 7 MM ADESO ALLA FASCIA PERIRETTALE.
UN LINFONODO DI CIRCA 5 MM IN SEDE OTTURATORIA SN.
SONO PRESENTI ALCUNE CISTI DI NABOTH. 
CONCLUSIONI: NEOPLASIA DEL RETTO MEDIO-ALTO T4AN2 MRF +</t>
  </si>
  <si>
    <t>['mesorettali', 'otturatori']</t>
  </si>
  <si>
    <t>RM ADDOME INFERIORE (S/C MDC)
L'ESAME Ãˆ STATO ESEGUITO MEDIANTE SEQUENZE FSE,DWI,DISCO DOPO MDC.
IN CORRISPONDENZA DELLA PARETE LATERALE SINISTRA DEL RETTO BASSO Ãˆ PRESENTE FORMAZIONE AGGETTANTE CHE DALLO SFINTERE ANALE INTERNO SI ESTENDE CRANIALMENTE PER CIRCA 5 CM CON DIGITAZIONI NEL MESORETTO CHE ANTERIORMENTE RAGGIUNGONO LA FASCIA PERIRETTALE.
NEL MESORETTO , LUNGO I VASI EMORROIDARI SUPERIORI ED IN SEDE EXTRAMESORETTALE A DESTRA SONO PRESENTI LINFONODI SOSPETTI IN NUMERO SUPERIORE A TRE, I MAGGIORI DEI QUALI CON ASSE CORTO DI CIRCA 7 MM.
PICCOLA ERNIA INGUINALE DESTRA CON IMPEGNO DI TESSUTO ADIPOSO.
CONCLUSIONI: STADIAZIONE RM T3MRF+N2 EXTRAMESORETTALE</t>
  </si>
  <si>
    <t>basso</t>
  </si>
  <si>
    <t>RM ADDOME INFERIORE (S/C MDC)
L'ESAME Ãˆ STATO ESEGUITO MEDINTE SEQUENZE FSE,DWI,DISCO DOPO MDC.
A CIRCA 3 CM DALLO SFINTERE ANALE INTERNO CON ESTENSIONE CRANIALE DI CIRCA 2 CM Ãˆ PRESENTE PICCOLA FORMAZIONE A PLACCA CHE OCCUPA 1/4 DELLA CIRCONFERENZA DEL LUME CON EPICENTRO IN CORRISPONDENZA DELLA PARETE POSTERO-LATERALE DESTRA DEL RETTO BASSO. LA LESIONE INTERESSA LA PARETE A TUTTO SPESSORE E NON. SCONFINA NEL GRASSO MESORETTALE CON UNA PROFONDITÃ€ DI INFILTRAZIONE INFERIORE A 5 MM.
NON EVIDENTI LINFONODI SOSPETTI NEL MESORETTO.
PROSTATA AUMENTATA DI DIMENSIONI (DIAMETRO TRASVERSO CIRCA 5,5 CM) DISOMOGENEA.
SIMMETRICHE LE VESCICOLE SEMINALI. 
SI CONFERMANO I DATI DELLA RECENTE TC DI DIFFUSO ISPESSIMENTO DELLE PARETI VESCICALI CON ALCUNI DIVERTICOLI INTRAPARIETALI E LIEVE ECTASIA DEGLI URETRERI NEL LORO TRATTO PELVICO ESPLORATO NELL'ESAME RM.
LINFONODI ASPECIFICI IN SEDE INGUINALE BILATERALE.
CONCLUSIONI: STADIAZIONE RMT3AN0</t>
  </si>
  <si>
    <t>T3ab</t>
  </si>
  <si>
    <t>N0</t>
  </si>
  <si>
    <t>sotto</t>
  </si>
  <si>
    <t>si_5mm</t>
  </si>
  <si>
    <t>['mesorettali']</t>
  </si>
  <si>
    <t>non chiara l'invasione del mesoretto.
- esatto, quindi non mettiamo nulla a mesoretto e a MRF, perÃ² in conclusione mette T3, quindi mettiamo classe piu bassa.
- Avevi messo no a infiltrazione sfinteri, ma la risposta Ã¨: SÃ¬ Sfintere interno (III superiore canale anale) + Piano intersfinterico
- parla di linfonodi sospetti inguinali (che nei casi di lesioni basse sono regionali) ma non dice numero, quindi numero non conosciuto.
- avevi messo linfonodi mesenterici inferiori sospetti, ma non sono proprio menzionati in referto.
- era inserito M1, ma non parla di metastasi</t>
  </si>
  <si>
    <t>RM ADDOME INFERIORE
L'ESAME Ãˆ SATTO ESEGUITO MEDINTE SEQUENZE FSE,DWI.
IN CORRISPONDENZA DELLA PARETE ANTERIORE DEL RETTO BASSO Ãˆ PRESENTE FORMAZIONE AGGETTANTE CHE OCCUPA 3/4 DELLA CIRCONFERENZA DEL LUME E SI ESTENDE CAUDALMENTE PER CIRCA 5 CM FINO AL TERZO SUPERIORE DEL CANALE ANALE.
LA NEOPLASIA , MODERATAMENTE IPERINTENSA NELLE SEQUENZE T2-DIPENDENTI,  RAGGIUNGE TRA LE ORE 6 E LE ORE 9 IL PIANO INTERSFINTERIALE DEL III SUPERIORE DEL CANALE ANALE 
DUE  LINFONODI SOSPETTI NEL MESORETTO.
LINFONODI INGUINALI BILATERALI , I MAGGIORI DEL DIAMETRO DI CIRCA 1 CM 
NUMEROSI FOLLICOLI NEL CONTESTO DI ENTRAMBI GLI ANNESSI 
MINIMA FALDA FLUIDA IN PELVI. 
CISTI RADICOLARE SACRALE.
CONCLUSIONI  : NEOPLASIA DEL RETTO BASSO CHE OLTREPASSA LA GIUNZIONE RETTO-ANALE E RAGGIUNGE IL PIANO INTERSFINTERIALE, T3. LINFONODI SOSPETTI NEL MESORETTO E DEL DIAMETRO DI CIRCA 1 CM IN SEDE INGUINALE.</t>
  </si>
  <si>
    <t>N+</t>
  </si>
  <si>
    <t>RM ADDOME INFERIORE (S/C MDC)
L'ESAME Ãˆ STATO ESEGUITO MEDIANTE SEQUENZE FSE,DWI,DISCO DOPO DC.
IN CORRISPONDENZA DELLA PARETE POSTERIORE DEL RETTO BASSO SI SEGNALA FORMAZIONE AGGETTANTE CHE OCCUPA 2/4 DELLA CIRCONFERENZA DEL LUME , SI ESTENDE CRANIALEMNTE PER CIRCA 4,5 CM CON IL POLO INFERIORE CHE OLTREPASSA LO SFINTERE ANALE INTERNO .
LA NEOPLASIA NON PRESENTA CLIVAGGIO DAL MUSCOLO ELEVATORE DELL'ANO DI DESTRA.
NEL MESORETTO E LUNGO I VASI EMORROIDARI SUPERIORI SONO PRESENTI ALCUNI LINFONODI DUE  DEI QUALI SOSPETTI, UNO ADESO ALLA FASCIA PERIRETTALE..
LINFONODI ASPECIFICI IN SEDE OTTURATORIA BILATERALE.
IN CORRISPONDENZA DEL COLLO UTERINO SONO PRESENTI ALCUNE CISTI DI NABOTH.
SI SEGNALA DIFFUSO ISPESSIMENTO DELL'ENDOMETRIO IN PARTICOLARE A LIVELLO DEL FONDO , PARETE LATERALE DESTRA .
INTEGRA LA LINEA GIUNZIONALE 
PICCOLO FIBROMA INTRAMURALE IN CORRISPONDENZA DELLA PARETE POSTERIORE DEL FONFO UTERINO.
ALCUNE GROSSOLANE ESTROFLESSIONI PARIETALI DI TIPO DIVERTICOLARE  CON AMPIO COLLETTO.
CONCLUSIONI; STADIAZIONE RM T4N1MRF+ .L'ASPETTO RM DELL'UTERO MERITA INTEGRAZIONE CLINICA.</t>
  </si>
  <si>
    <t>N1b</t>
  </si>
  <si>
    <t>sospetto</t>
  </si>
  <si>
    <t>{'altro': "non si apprezza clivaggio con il muscolo elevatore dell'ano."}</t>
  </si>
  <si>
    <t>non chiaramente specificata l'invasione mesorettale T3ab o T3cd?
- in conclusione mette t3a, quindi mettiamo &lt;5 mm.
- Relazione con la riflessione peritoneale anteriore: non inserire risposta se non  Ã¨ chiaramente espresso, avevi messo al di sotto, ma la lesione Ã¨ retto medio-alto quindi non puoi saperlo, ne sei sicuro solo se la lesione Ã¨ bassa.
- Coinvolgimento riflessione peritoneale/peritoneo e MRF, Extra Mural Vascular Invasion (EMVI), non sono specificati, quindi non dovevi inserire nulla</t>
  </si>
  <si>
    <t>RM ADDOME INFERIORE
L'ESAME E STATO ESEGUITO MEDIANTE SEQUENZE FSE E DWI.
IN CORRISPONDENZA DEL RETTO MEDIO-ALTO, DA CIRCA 7 CM DALLO SFINTERE ANALE INTERNO CON ESTENSIONE CRANIALE PER CIRCA 3,5 CM E PRESENTE FORMAZIONE AGGETTANTE CHE OCCUPA 2/4 DELLA CIRCONFERENZA DEL LUME DEL VISCERE, CON EPICENTRO IN CORRISPONDENZA DELLA PARETE POSTERO-LATERALE DESTRA.
LA NEOPLASIA MODERATAMENTE IPERINTENSA NELLE SEQUENZE T2-DIPENDENTI HA UNA PREVALENTE COMPONENTE ENDOLUMINALE VEGETANTE CON LIMITI SFUMATI NEL MESORETTO.
NEL MESORETTO POSTERIORE E PRESENTO UN MILLIMETRICO LINFONODO.
IN SEDE OTTURATORIA BILATERALE E LUNGO L'ASSE ILIACO ESTERNO DI DESTRA SONO PRESENTI ALCUNI LINFONODI DI MORFOLOGIA OVALARE,DI NATURA ASPECIFICA. 
DIFFUSO ISPESSIMENTO DELLE PARETI VESCICALI 
DIVERTICOLOSI DEL SIGMA.
CONCLUSIONI: STADIAZIONE RM T3AN0</t>
  </si>
  <si>
    <t>non chiaramente specificata l'invasione mesorettale T3ab o T3cd?
- giusto, quindi non possiamo saperlo. Direi che in questi casi consideriamo la classe piÃ¹ bassa T3ab
- linfonodi sospetti ti dice oltre 3 quindi N2, non sappiamo se N2a o b perchÃ¨ non specifica numero, quindi mettiamo classe piÃ¹ bassa</t>
  </si>
  <si>
    <t>RM ADDOME INFERIORE (S/C MDC)
L'ESAME Ãˆ STATO ESEGUITO MEDIANTE SEQUENZE FSE,DWI,DISCO DOPO MDC.
IN CORRISPONDENZA DEL RETTO MEDIO-ALTO , DA CIRCA 9 CM DALLO SFINTERE ANALE INTERNO CON ESTENSIONE CRANIALE PER CIRCA 4 CM,  Ãˆ PRESENTE ISPESSIMENTO PARIETALE CIRCONFERENZIALE CHE INVIA DIGITAZIONI NEL GRASSO CIRCOSTANTE .
LINFONODI SOSPETTI IN NUMERO SUPERIORE A TRE NEL MESORETTO - GRASSO PERIRETTALE.
UN LINFONODO DI CIRCA 5 MM IN SEDE ILIACA INTERNA A SINISTRA. 
PROSTATA AUMENTATA DI DIMENSIONI (DIAMETRO TRASVERSO CIRCA 4,8 CM) CON PROMINENZA DEL III LOBO CHE SOLLEVA IL PAVIMENTO VESCICALE 
CONCLUSIONI: STADIAZIONE LOCALE RM T3N2</t>
  </si>
  <si>
    <t>in questo caso non ho messo MRF+ e i linfonodi da come n2 e n1c avendo i depositi ma mi da il solito errore quando salvo
- ho corretto i linfonodi sospetti.
- emvi non Ã¨ menzionato, quindi non dovevi mettere nulla</t>
  </si>
  <si>
    <t>RM ADDOME INFERIORE
L'ESAME E STATO ESEGUITO MEDIANTE SEQUENZE FSE E DWI; NON E STATO POSSIBILE ESEGUIRE SEQUENZE POST-CONTRASTOGRAFICHE PER MALFUNZIONAMNTO DELL'APPARECCHIO RM DURANTE L'ESECUZIONE DELL'ESAME.
IN CORRISPONDENZA DEL RETTO ALTO, A CAVALLO DELLA RIFLESSIONE PERITONEALE, DA CIRCA 10 CM DALLO SFINTERE ANALE INTERNO CON ESTENSIONE CRANIALE PER CIRCA 3,8 CM SI SEGNALA ISPESSIMENTO PARIETALE CIRCONFERENZIALE CHE INVIA DIGITAZIONI NEL MESORETTO, CON SCONFINAMENTO NEL TESSUTO ADIPOSO PERIVISCERALE SUL VERSANTE LATERALE SINISTRO DOVE INFILTRA LA RIFLESSIONE PERIOTONEALE.
LUNGO I VASI EMORROIDARI E PRESENTE TESSUTO IPOINTENSO NELLE SEQUENZE T2 DIPENDENTI A MARGINI SPICULATI CON DIMENSIONI ASSIALI MASSIME DI 14 MM, COME PER DEPOSITO TUMORALE.
SONO PRESENTI MULTIPLI LINFONODI A INTENSITA DISOMOGENEA LUNGO I VASI EMORROIDARI, IL MAGGIORE IN SEDE PRESACRALE CON ASSE CORTO DI 6 MM.
 STADIAZIONE RM T4A N2 EMVI+</t>
  </si>
  <si>
    <t>['mesorettali', 'rettali_superiori', 'sacrali']</t>
  </si>
  <si>
    <t>RM ADDOME INFERIORE (S/C MDC)
L'ESAME Ãˆ STATO ESEGUITO MEDIANTE SEQUENZE FSE,DWI,DISCO DOPO MDC.
IN CORRISPONDENZA DEL RETTO MEDIO-ALTO, CON EPICENTRO IN CORRISPONDENZA DELLA PARETE ANTERO-LATERALE DESTRA  , Ãˆ PRESENTE FORMAZIONE AGGETTANTE CHE DA CIRCA 4,5 CM DALLO SFINTERE ANALE SI ESTENDE CRANIALMENTE PER CIRCA 7 CM , OCCUPA 3/4 DELLA CIRCONFERENZA DEL LUME ED INVIA DIGITAZIONI NEL MESORETTO.
NEL MESORETTO E LUNGO I VASI EMORROIDARI SUPERIORI SONO PRESENTI LINFONODI SOSPETTI , IL MAGGIORE DEI QUALI DI CIRCA 9 MM.
PROSTATA LIEVEMENTE AUMENTATA DI DIMENSIONI ( DT 4,5 CM ). 
DIFFUSO ISPESSIMENTO DELLE PARETI VESCICALI 
DIVERTICOLOSI DEL SIGMA 
CONCLUSIONI: STADIAZIONE RM T3CD N2</t>
  </si>
  <si>
    <t>non chiari linfonodi ma da staging si deduce.
-Numero linfonodi regionali sospetti avevi messo 3, ma invece non lo sai di preciso, N1 delle conclusioni non ti permette di sapere numero preciso quindi metti numero non conosciuto e nelle conclusioni classe N1b perchÃ¨ parla di linfonodi a plurale quindi non puÃ² essere N1a (1)
- Infiltrazione altri organi / strutture extra-mesorettali avevi messo no, ma invece Ã¨ sospetto per gli organi che hai messo dopo
- non ti ha parlarto di riflessione perit. e MRF, quindi non metti nulla
- Infiltrazione sfinteri avevi messo no, ma ti ha detto che ha raggiunto PIANO INTERSFINTERIALE
- Extra Mural Vascular Invasion (EMVI) avevi messo sospetto, ma non  hai nessun dato a proposito, non mettere nulla</t>
  </si>
  <si>
    <t>RM ADDOME INFERIORE
L'ESAME Ãˆ STATO ESEGUITO MEDIANTE SEQUENZE FSE,DWI.
SONO PRESENTI ARTEFATTI DA PROTESI DI ANCA A DESTRA.
IN CORRISPONDENZA  DEL RETTO BASSO SI SEGNALA ISPESSIMENTO PARIETALE CIRCONFERENZIALE CON ESTENSIONE CAUDO-CRANIALE DI CIRCA 6 CM ED  ESTENSIONE CAUDALE ALLA PORZIONE MEDIO-SUPERIORE  DEL CANALE ANALE .
LA NEOPLASIA INVIA DIGITAZIONI NEL MESORETTO ANTERIORE CHE RAGGIUNGONO IN UN PUNTO IL SETTO RETTOVAGINALE E SEGUONO I VASI EMORROIDARI.
LATERALMENTE , ED A  SINISTRA , LA NEOPLASIA RAGGIUNGE IN UN PUNTO IL MUSCOLO ELEVATORE DELL'ANO DI SINISTRA.
CAUDALMENTE LA NEOPLASIA RAGGIUNGE IL PIANO INTERSFINTERIALE .
MILLMETRICI LINFONODI NEL MESORETTO E LINFONODO CON ASSE CORTO DI CIRCA 7 MM IN SEDE EXTRAMESORETTALE A DESTRA.
UTERO IN ATROFIA POST-MENOPAUSALE.
IN CORRISPONDENZA DEL COLLO UTERINO SONO PRESENTI ALCUNE CISTI DI NABOTH .
PICCOLA  FALDA FLUIDA IN CAVITÃ€ UTERINA .
IN CORRISPONDENZA DEL CORPO UTERINO Ãˆ PRESENTE UN NODO  MIOMATOSO DI TIPO INTRAMURALE -SOTTOMUCOSO DI CIRCA 8 MM.
FALDA ASCITICA IN PELVI.
DILATAZIONE ANEURISMATICA DELL'AORTA SOTTORENALE DEL DIAMETRO TRASVERSO MASSIMO DI CIRCA 5,4 CM A RIDOSSO DEL CARREFOUR CON LUME REALE DI CIRCA 3 CM PER  APPOSIZIONE TROMBOTICHE PARIETALI PREVALENTI IN CORRISPONDENZA DELLA PARETE LATERALE SINISTRA.
CISTI RENALI BILATERALII, LE MAGGIORI DELLE QUALI IN CORRISPONDENZA DEL POLO SUPERIORE DEL RENE DI SINISTRA DI CIRCA 5 CM ED AL III INFERIORE DEL RENE DI DESTRA DI CIRCA 3 CM. 
ASPETTO GLOBOSO DI ENTRAMBI I SURRENI 
CISTI RADICOLARE.
DIVERTICOLOSI DEL SIGMA, NUMEROSI DIVERTICOLI SENZA ASSOCIATI SEGNI DI FLOGOSI.
PICCOLA ERNIA INGUINALE A DESTRA CON PORTA ERNIARIA DI CIRCA 15 MM ED IMPEGNO DI TESSUTO ADIPOSO .
CONCLUSIONI: NEOPLASIA DEL RETTO-BASSO ESTESA AL CANALE ANALE T4N1</t>
  </si>
  <si>
    <t>interno_piano</t>
  </si>
  <si>
    <t>{'altro': "muscolo elevatore dell'ano ; vagina", 'pavimento_pelvico': True}</t>
  </si>
  <si>
    <t>RM ADDOME INFERIORE (S/C MDC)
L'ESAME E SATTO ESEGUITO MEDNTE SEQUENZE FSE,DWI.
IN CORRISPONDENZA DEL RETTO MEDIO,  DA CIRCA 4,5 CM DALLO SFINTERE ANALE INTERNO CON ESTENSIONE CRANIALE PER CIRCA 3,5 CM,  SI SEGNALA FORMAZIONE AGGETTANTE CON FINI DIGITAZIONI NEL MESORETTO.
LUNGO I VASI EMORROIDARI SUPERIORI CON ASSE CORTO DI CIRCA 8 MM , DISOMOGENEI ED IN SEDE LATERALE A SINISTRA CON ASSE CORTO DI CIRCA 1 CM SONO PRESENTI LINFONODI SOSPETTI IN NUMERO SUPERIORE A TRE .
PROSTATA AUMENTATA DI DIMENSIONI (DIAMETRO TRASVERSO CIRCA 6 CM ) CON FORMAZIONE ADENOMATOSA CENTRALE CHE SOLLEVA IL PAVIMENTO VESCICALE 
DIVERTICOLOSI DEL SIGMA 
CONCLUSIONI: STADIAZIONE RM T3AN2</t>
  </si>
  <si>
    <t>['mesenterici_inferiori', 'mesorettali']</t>
  </si>
  <si>
    <t xml:space="preserve">da sempre errore N con i depositi tumorali.
- non descrive linfonodi francamente sospetti, quindi non li mettiamo. Parla infatti solo di Nc per depositi
- non avevi messo numero 2 depositi
</t>
  </si>
  <si>
    <t>RM PELVI
L'ESAME E STATO ESEGUITO MEDIANTE SEQUENZE FSE,DWI.
IN ALCUNE SEQUENZE SONO PRESENTI ARTEFATTI DA PROTESI DI ANCA IN PARTICOLARE NELLE SEQUENZE DWI.
IN CORRISPONDENZA DEL TRATTO DI PASSAGGIO RETTO MEDIO-ALTO , DA CIRCA 5 CM DALLO SFINTERE ANALE INTERNO CON ESTENSIONE CRANIALE PER CIRCA 4 CM E PRESENTE FORMAZIONE AGGETTANTE CHE OCCUPA 3/4 DELLA CIRCONFERENZA DEL LUME CON EPICENTRO IN CORRISPONDENZA DELLA PARETE LATERALE SINISTRA ED INVIA DIGITAZIONI NEL TESSUTO ADIPOSO CIRCOSTANTE DI MORFOLOGIA POLIPOIDE CHE INGLOBANO  I VASI EMORROIDARI .
NEL MESORETTO  DI DESTRA E PRESENTE UN  PICCOLO DEPOSITO TUMORALE DI CIRCA 3 MM .
A SINISTRA LUNGO I VASI EMORROIDARI SUPERIORI E PRESENTE UN ALTRO DEPOSITO TUMORALE DI CIRCA 9 MM CON PREVALENTE AREA IPERINTENSA NEL CONTESTO COME PER NECROSI- MUCINA.
LINFONODO CON ASSE CORTO DI CIRCA 4 MM LUNGO L'ASSE ILIACO COMUME , BILATERLMENTE  ED IN SEDE OTTURATORIA  DESTRA. 
PROSTATA AUMENTATA DI DIMENSIONI, DIAMETRO TRASVERSO CIRCA 5,7 CM, PER LA PRESENZA DI UNA FORMAZIONE ADENOMATOSA CENTRALE CHE SOLLEVA IL PAVIMENTO VESCICALE.
DIFFUSO ISPESSIMENTO DELLE PARETI VESCICALI 
DIVERTICOLOSI DEL SIGMA 
CONCLUSIONI NEOPLASIA DEL RETTO MEDIO-ALTO T3 NC EMVI</t>
  </si>
  <si>
    <t>non Ã¨ specificata l'estensione dell'infiltrazione del grasso mesorettale (T3 ab o cd?)
- dice inferiore a 1 cm, quindi si intende comunque classe alta (&gt;5 mm)
-Sede â€“ Locoregionali: avevi messo mesorettali e mesenterici inferiori, ma sono emorroidari superiori
- Depositi e EMVI non dovevi mettere nulla</t>
  </si>
  <si>
    <t>RM ADDOME INFERIORE (S/C MDC)
ESAME ESEGUITO MEDIANTE SEQUENZE FAST SPIN ECHO, DWIÂ E LAVA PRIMA E DURANTE SOMMINISTRAZIONE DI MEZZO DI CONTRASTO PARAMAGNETICO, SECONDO PIANI MULTIPLI, PREVIA DISTENSIONE DEL RETTO CON GEL E IPOTONIZZANTE INTRAMUSCOLO.
SI DOCUMENTA UN VOLUMINOSO PROCESSO ESPANSIVO, POLIPOIDE, AGGETTANTE NEL LUME DEL RETTO MEDIO-ALTO ( A CAVALLO DELLA RIFLESSIONE PERITONEALE) , AD EPICENTRO NELLA PARETE ANTERO-LATERALE DX  ORIGINANDO A CIRCA 8 CM DALL'ORIFIZIO ANALE INTERNO ED ESTENDENDOSI , MAGGIORMENTE NEL RETTO ALTO,Â  PER 4 CM  IN DIAMETRO LONGITUDINALE ; IL PROCESSO INFILTRA LA PARETE A TUTTO SPESSORE , RETRAENDOLA ANTERO-LATERALMENTE, E DA ESSAÂ SI IRRADIANO SOTTILI SPICULATURE NEL CELLULARE ADIPOSO PER UNA PROFONDITÃ€ INFERIORE AL CM.
SONO PRESENTI DUE LINFONODI TONDEGGIANTI SOSPETTI IN CORRISPONDENZA DELLA STAZIONE EMORROIDARIA SUPERIORE .
NON ULTERIORI LINFOADENOMEGALIE A DISTANZA .
NON ASCITE.
CISTI FUNZIONALI NELL'ANNESSO DI SINISTRA 
CONCLUSIONE: NEOPLASIA DEL RETTO MEDIO ALTO STADIO RM T3 N1</t>
  </si>
  <si>
    <t>['rettali_superiori']</t>
  </si>
  <si>
    <t>assenza del piano di clivaggio con il muscolo puborettale di destra ma invasione del mesoretto per &lt; di 5mm 
- sÃ¬, perchÃ¨ nel retto basso, piÃ¹ ci si avvicina all'ano, piÃ¹ si riduce la distanza tra parete rettale e altre strutture anatomiche (tessuto adiposo di "clivaggio" Ã¨ minore)</t>
  </si>
  <si>
    <t>RM ADDOME INFERIORE (S/C MDC)
MOTIVO DELL'ESAME: STADIAZIONE DI K RETTO.
INDAGINE CONDOTTA MEDIANTE SEQUENZE FSE, DWI E DISCO, PRIMA E DOPO SOMMINISTRAZIONE EV DI MDC (PROHANCE 0.2 ML/KG).
IN CORRISPONDENZA DELLA PARETE POSTERIORE E LATERALE SINISTRA DEL RETTO MEDIO-BASSO, SI DOCUMENTA ISPESSIMENTO PARIETALE CON SEGNALE TENUEMENTE IPERINTENSO NELLE SEQUENZE T2 DIPENDENTI, SEGNI DI RESTRIZIONE DELLA DIFFUSIVITÃ€ PROTONICA E CONTRAST-ENHANCEMENT DOPO MDC, CHE SI ESTENDE DA CIRCA 3 CM DALLO SFINTERE ANALE ESTERNO, CRANIALMENTE PER CIRCA 7 CM. LA LESIONE OCCUPA I 3/4 DELLA CIRCONFERENZA DEL LUME, RIDUCENDONE IL CALIBRO, ED INTERESSA LA PARETE RETTALE A TUTTO SPESSORE, CON FINI DIGITAZIONI NEL GRASSO PERIRETTALE PER UNA PROFONDITÃ€ DI INFILTRAZIONE INFERIORE A 5 MM; IN PARTICOLARE, NON APPARE FOCALMENTE RICONOSCIBILE UN CHIARO PIANO DI CLIVAGGIO CON IL MUSCOLO PUBORETTALE DI DESTRA (SE 7-22).
NEL MESORETTO POSTERIORE E LUNGO I VASI EMORROIDARI SUPERIORI SONO PRESENTI PICCOLI LINFONODI IN NUMERO SUPERIORE A TRE, IL MAGGIORE ALLE ORE 6 CON ASSE CORTO DI CIRCA 5MM.
LINFONODO CON ASSE CORTO &lt; CM, ASPECIFICO, IN SEDE OTTURATORIA SINISTRA.
PROSTATA DI DIMENSIONI AI LIMITI SUPERIORI (DIAMETRO TRASVERSO CIRCA 4,5 CM). 
NON VERSAMENTO LIBERO NELLO SCAVO PELVICO.</t>
  </si>
  <si>
    <t>{'altro': 'muscolo puborettale di destra', 'pavimento_pelvico': True}</t>
  </si>
  <si>
    <t xml:space="preserve">non chiaramente specificata l'invasione mesorettale T3ab o T3cd?
- allora mettiamo classe piÃ¹ bassa, T3ab
</t>
  </si>
  <si>
    <t>RM ADDOME INFERIORE (S/C MDC)
L'ESAME E STATO ESEGUITO MEDIANTE SEQUENZE FSE, DWI, DISCO DOPO MDC, PROHANCE.
IN CORRISPONDENZA DEL RETTO MEDIO-ALTO DA CIRCA 6,8 CM DALLO SFINTERE ANALE INTERNO CON ESTENSIONE CRANIALE PER CIRCA 5,5 CM SI SEGNALA ISPESSIMENTO PARIETALE CONCENTRICO  CON DIGITAZIONI NEL MESORETTO. 
NEL MESORETTO E LUNGO I VASI EMORROIDARI SUPERIORI SONO PRESENTI LINFONODI SOSPETTI, IN NUMERO SUPERIORE A TRE, IL MAGGIORE DEI QUALI CON ASSE CORTO DI CIRCA 7 MM , UNO DEI QUALI ADESO ALLA FASCIA PERIRETTALE ALLE ORE 8.
LINFONODI IN SEDE OTTURATORIA BILATERALE, IL MAGGIORE A SINISTRA CON ASSE CORTO DI CIRCA 8 MM .
IN CORRISPONDENZA DELLA PARETE ANTERIORE DEL RETTO BASSO DA CIRCA 4 CM DALLO SFINTERE ANALE INTERNO CON ESTENSIONE CRANIALE PER CIRCA 18 MM E PRESENTE FORMAZIONE AGGETTANTE CHE OCCUPA 1/4 DELLA CIRCONFERENZA DEL LUME ED APPARE CONFINATO ALLA PARETE.
IN CORRISPONDENZA DEL COLLO UTERINO SONO PRESENTI ALCUNE CISTI DI NABOTH E SI SEGNALA LA PRESENZA DI FLUIDO IN CAVITA UTERINA.
CONCLUSIONI: STADIAZIONE RM T3 N2 EXTRAMESORETTALE.</t>
  </si>
  <si>
    <t>['mesorettali', 'otturatori', 'rettali_superiori']</t>
  </si>
  <si>
    <t xml:space="preserve">non sono specificati bene il linfonodiâ€¦ sono da considerare patologici o no?
aspecifici, mettiamo no.
</t>
  </si>
  <si>
    <t>RM ADDOME INFERIORE (S/C MDC)
INDAGINE ESEGUITA MEDIANTE SEQUENZE DWI, FSE ED FSPGR 3D SENZA E CON SOMMINISTRAZIONE IV DI MDC PARAMAGNETICO (PROHANCE-0,2 ML/KG), SECONDO PIANI MULTIPLI, PREVIA DISTENSIONE DEL RETTO CON GEL E IPOTONIZZANTE IM.
SI CONFERMA LA PRESENZA IN CORRISPONDENZA DEL RETTO MEDIO-ALTO DI UN PROCESSO ESPANSIVO-INFILTRATIVO, DI ASPETTO VEGETANTE ENDOLUMINALE CON RETRAZIONE DELLA BASE D'IMPIANTO, IPERINTENSO IN T2W, CON RESTRIZIONE DELLA DIFFUSIONE PROTONICA ED ENHANCEMENT DOPO INFUSIONE DI MDC. 
TALE LESIONE CON IMPIANTO SULLA PARETE LATERALE DESTRA INTERESSA CIRCA LA METÃ€ DELLA CIRCONFERENZA DEL VISCERE E PRESENTA MARGINE INFERIORE A CIRCA 8CM DALL'OAI ED ESTENSIONE CRANIO-CAUDALE DI CIRCA 3,5CM.
LA PARETE DEL RETTO Ãˆ INTERESSATA A TUTTO SPESSORE CON INTERRUZIONE DELLA MUSCOLARE E CON INIZIALI SEGNI DI SCONFINAMENTO NEL TESSUTO ADIPOSO PERIRETTALE (T3A). 
NEL PERIRETTO SONO PRESENTI ALMENO TRE LINFONODI, DI NON SICURO SIGNIFICATO PATOLOGICO, IL MAGGIORE DEI QUALI DI 6MM X 4MM CIRCA. ALCUNI LINFONODI DI SIGNIFICATO ASPECIFICO SONO PRESENTI LUNGO L'EMORROIDARIA SUPERIORE E IN SEDE ILIACO-OTTURATORIA BILATERALMENTE, PIÃ™ EVIDENTI A DESTRA.</t>
  </si>
  <si>
    <t xml:space="preserve">
non avevi messo numero LN sospetti e num depositi
</t>
  </si>
  <si>
    <t>RM ADDOME INFERIORE (S/C MDC)
L'ESAME E STATO ESEGUITO MEDIANTE SEQUENZE FSE,DWI,DISCO DOPO MDC, PROHANCE.
ESITI DI PREGERSSO INTERVENTO DI EMICOLECTOMIA SINISTRA .
IN CORRISPONDENZA DEL RETTO MEDIO, PARETE LATERALE DESTRA, CON ESTENSIONE CAUDO-CRANIALE DI CIRCA 3 CM E PRESENTE FORMAZIONE AGGETTANTE CHE INVIA DIGITAZIONI  NEL GRASSO PERIRETTALE.
ALCUNE DIGITAZIONI RAGGIUNGONO IL COLLO UTERINO.
PER IL CONCOMITANTE PROLASSO RETTALE NON E POSSIBILE DEFINIRE LA PRECISA DISTANZA DELLA NEOPLASIA DALLA SFINTERE ANALE INTERNO.
CRANIALMENTE ALLA NEOPLASIA E PRESENTE UN DEPOSITO TUMORALE CHE INGLOBA I VASI EMORROIDARI.
PIU CRANIALMENTE SONO PRESENTI DUE LINFONODI SOSPETTI IN MESORETTO DI DESTRA.
AMPIO LAPAROCELE CON IMPEGNO DI ALCUNE ANSE TENUALI.
IN SEDE ANNESSIALE SINISTRA E PRESENTE UN'IMMAGINE NETTAMENTE IPERINTENSA NELLE SEQUENZE T2-DIPENDENTI DEL DIAMETRO DI CIRCA 18 MM CON ASPETTO DI TIPO CISTICO.
LINFONODI ASPECIFICI IN SEDE INGUINALE BILATERALE 
UTERO RETROVERSOFLESSO DI DIMENSIONI CONSONE ALL'ETA DELLA PAZIENTE FIBROMIOMATOSO.
IN CORRISPONDENZA DEL COLLO UTERINO SONO PRESENTI ALCUNE CISTI DI NABOTH .
CONCLUSIONI: STADIAZIONE RM  T4 NC EMVI</t>
  </si>
  <si>
    <t>{'altro': 'cervice uterina', 'utero': True}</t>
  </si>
  <si>
    <t>RM ADDOME INFERIORE (S/C MDC)
L'ESAME Ãˆ STATO ESEGUITO MEDIANTE SEQUENZE FSE,DWI, DISCO DOPO MDC.
SI SEGNALA LA PRESENZA IN CORRISPONDENZA DEL RETTO MEDIO-ALTO , DA CIRCA 7 CM DALLO SFINTERE ANALE INTERNO CON ESTENSIONE CRANIALE PER CIRCA 6 CM ,  FORMAZIONE AGGETTANTE CHE INTERESSA 3/4 DELLA CIRCONFERENZA DEL LUME ,  INVIA DIGITAZIONI NEL MESORETTO ED IN UN PUNTO RETRAE IL PERITONEO. 
LINFONODI SOSPETTI  IN NUMERO SUPERIORE A TRE NEL MESORETTO .
LINFONODO ASPECIFICO IN SEDE ILIACA INTERNA A SINISTRA E LINFONODI ASPECIFICI IN SEDE INGUINALE BILATERALE.
UTERO DI DIMENSIONI ENTRO I LIMITI , DISOMOGENEO IN RELAZIONE A FIBROMIOMATOSI A NODI MULTIPLI.
ALCUNE CISTI DI NABOTH IN CORRISPONDENZA DEL COLLO UTERINO.
MINIMA FALDA FLUIDA IN PELVI.
CONCLUSIONI: STADIAZIONE RM T4AN2</t>
  </si>
  <si>
    <t>RM ADDOME INFERIORE (S/C MDC)
L'ESAME Ãˆ STATO ESEGUITO MEDIANTE SEQUENZE FSE,DWI,DISCO DOPO MDC , PROHANCE.
IN CORRISPONDENZA DELLA PARETE POSTERO-LATERALE DESTRA DEL RETTO MEDIO Ãˆ PRESENTE FORMAZIONE AGGETTANTE CHE SI ESTENDE DA CIRCA 6 CM DALLO SFINTERE ANALE INTERNO CRANIALMENTE PER CIRCA 3 CM. 
LA NEOPLASIA APPARE MODERATAMENTE IPERINTENSA NELLE SEQUENZE T2-DIPENDENTI E PRESENTA FINI DIGITAZIONI NEL GRASSO MESORETTALE DI PROFONDITÃ€  INFERIOIRE 
INFERIORE A 5 MM.
LUNGO I VASI EMORROIDARI SONO PRESENTI TRE LINFONODI SOSPETTI, ASSE CORTO DI CIRCA 7 MM.
PROSTATA AUMENTATA DI DIMENSIONI, DT CIRCA 5 CM , PER LA PRESENZA DI UNA FORMAZIONE ADENOMATOSA CENTRALE CHE SOLLEVA IL PAVIMENTO VESCICALE.
DIFFUSO ISPESSIMENTO DELLE PARETI VESCICALI.
CONCLUSIONI: STADIAZIONE RM T3AN1</t>
  </si>
  <si>
    <t>RM ADDOME INFERIORE
L'ESAME E STATO ESEGUITO MEDIANTE SEQUENZE FSE,DWI.
IN CORRISPONDENZA DEL RETTO MEDIO-BASSO, DA CIRCA 4 CM DALLO SFINTERE ANALE INTERNO CON ESTENSIONE CRANIALE PER CIRCA 4,4 CM E PRESENTE ISPESSIMENTO PARIETALE CONCENTRICO CHE SI ESTENDE CRANIALMENTE PER CIRCA 4,4 CM, OCCUPA 2/4 DELLA CIRCONFERENZA DEL LUME ED INVIA DIGITAZIONI NEL MESORETTO,  ALCUNE DELLE QUALI ANTERIORMENTE RAGGIUNGONO LA FASCIA PERIRETTALE.
NEL MESORETTO SONO PRESENTI LINFONODI SOSPETTI,  IL MAGGIORE DEI QUALI CON ASSE CORTO DI CIRCA 7 MM E MORFOLOGIA ROTONDEGGIANTE.
IN SEDE LATERALE, BILATERALMENTE,  SONO PRESENTI LINFONODI SOSPETTI IL MAGGIORE DEI QUALI A SINISTRA CON ASSE CORTO DI CIRCA 8 MM .
PROSTATA AUMENTATA DI DIMENSIONI (DIAMETRO TRASVERSO CIRCA 5 CM) CHE SOLLEVA IL PAVIMENTO VESCICALE.
DIFFUSO ISPESSIMENTO DELLE PARETI VESCICALI.
CONCLUSIONI: STADIAZIONE NEOPLASIA DEL RETTO T3MRF+ N2 EXTRAMESORETTALE</t>
  </si>
  <si>
    <t>RM ADDOME INFERIORE (S/C MDC)
QUESITO CLINICO: STADIAZIONE IN SOSPETTO TUMORE DEL RETTO.
TECNICA: ESAME ESEGUITO MEDIANTE SEQUENZE FSE, DWI E DISCO PRIMA E DOPO SOMMINISTRAZIONE DI MDC (PROHANCE 0.2 ML/KG).
SI DOCUMENTA LA PRESENZA DI UN ISPESSIMENTO PARIETALE IPOINTENSO NELLE SEQUENZE T2 PESATE E CON RESTRIZIONE DELLA DIFFUSIONE PROTONICA, RIFERIBILE ALLA PATOLOGIA DEL PAZIENTE, DISPOSTO NEL RETTO MEDIO CON MARGINE INFERIORE A CIRCA 6 CM DALLO SFINTERE ANALE INTERNO, ESTESO: - LONGITUDINALMENTE PER CIRCA 6 CM; - IN SENSO ASSIALE CON EPICENTRO A SN, NELLA SUA PORZIONE PIÃ™ CRANIALE ESTESO AD INTERESSARE I 3/4 DELLA CIRCONFERENZA VISCERALE (H12-9) CON ASPETTO SUB-STENOSANTE, NELLA PORZIONE PIÃ™ CAUDALE CIRCA I 2/4 DELLA PARETE (H3-9). SI OSSERVA ASPETTO IPERINTENSO DELLA MUCOSA RETTALE A MONTE (FLOGOSI ASSOCIATA?).
SI OSSERVANO MULTIPLI GETTONI SOLIDI AD ORIGINE DALLA PARETE LATERALE SN E SPICULE AD ORIGINE DALLA REGIONE POSTERO-LATERALE SN (H 5) CHE SI ESTENDONO NEL MESORETTO, ENTRAMBI CON UNA ESTENSIONE MAGGIORE DI 5 MM ED UNA DISTANZA MINIMA DALLA FASCIA MESORETTALE DI 6 MM.
SI OSSERVA UNA FORMAZIONE SOLIDA DI 14X8MM ADESA ALLA FASCIA MESORETTALE (H 9), SOSPETTA PER DEPOSITO TUMORALE. 
MULTIPLI (&gt;4) LINFONODI CON CARATTERISTICHE DI SOSPETTO SONO PRESENTI NEL MESORETTO, IN SEDE ILIACA INTERNA DX E TRA I VASI EMORRODIARI SUPERIORI. SI SEGNALA LA PRESENZA DI UN LINFONODO AUMENTATO DI DIMENSIONI E DENSITÃ€ MODICAMENTE DISOMOGENEA IN SEDE ILIACA ESTERNA/INGUINALE DX CON DIAMETRI ASSIALI MASSIMI DI 12X11MM.
STADIAZIONE RADIOLOGICA: T3 N2 MRF- CON LINFONODI EXTRAMESORETTALI; SI CONSIGLIA APPROFONDIMENTO DIAGNOSTICO PER LA CARATTERIZZAZIONE DEL LINFONODO IN SEDE ILIACA ESTERNA/INGUINALE DX (M+?).</t>
  </si>
  <si>
    <t>M1</t>
  </si>
  <si>
    <t>['mesorettali', 'iliaci_interni', 'rettali_superiori']</t>
  </si>
  <si>
    <t>['iliaci_esterni']</t>
  </si>
  <si>
    <t>RM ADDOME INFERIORE (S/C MDC)
L'EASME E STATO ESEGUITO MEDIANTE SEQUENZE FSE,DWI; DISCO DOPO MDC. MULTIHANCE.
IN CORRISPONDENZA DEL RETTO MEDIO, DA CIRCA 4 CM DALLO SFINTERE ANALE INTERNO, CON ESTENSIONE CRANIALE PER CIRCA 4,4 CM E PRESENTE FORMAZIONE AGGETTANTE CHE OCCUPA 3/4 DELLA CIRCONFERENZA DEL LUME CON EPICENTRO IN CORRISPONDENZA DELLA PARETE POSTERO-LATERALE DESTRA DEL RETTO MEDIO.
LA NEOPLASIA, MODERATAMENTE IPERINTENSA NELLE SEQUENZE T2-DIPENDENTI I, NVIA DIGITAZIONI NEL MESORETTO.
NEL MESORETTO SONO PRESENTI TRE LINFONODI SOSPETTI.
PROSTATA AUMENTATA DI DIMENSIONI (DIAMETRO TRASVERSO CIRCA 5 CM) PER UNA FORMAZIONE ADENOMATOSA CENTRALE DESTRA CHE SOLLEVA IL PAVIMENTO VESCICALE.
NEL CONTESTO DELLA PROSTATA , BASE DELLA GHIANDOLA, E PRESENTE UN'IMMAGINE DI ASPETTO CISTICO DEL DIAMETRO DI CIRCA 2 CM.
DIFFUSO ISPESSIMENTO DELLE PARETI DELLA VESCICA, IPERDISTESA AL MOMENTO DELL'ESAME, CON ASSOCIATE MULTIPLE FORMAZIONI DIVERTICOLARI DI MEDIE E GROSSE DIMENSIONI .
CONCLUSIONI: STADIAZIONE RM T3N1</t>
  </si>
  <si>
    <t>RM ADDOME SUPERIORE (S/C MDC)
RM PELVI
L'ESAME Ãˆ STATO ESEGUITO MEDINTE SEQUENZE FSE,DWI,SSFSE,SPGRE,3D LAVA DOPO MDC MIRATO ALLA STADIAZIONE LOCALE DELLA NEOPLASIA RETTALE ED ALLA VALUTAZIONE DEL PARENCHIMA EPATICO.
IN ALCUNE SEQUENZE SONO PRESENTI ARTEFATTI DA MOVIMENTO. 
IN CORRISPONDENZA DEL RETTO MEDIO-BASSO , DA CIRCA 3 CM DALLO SFINTERE ANALE INTERNO CON ESTENSIONE CRANIALE PER CIRCA 4,8 CM SI SEGNALA ISPESSIMENTO PARIETALE PRESSOCHÃ‰ CIRCONFERENZIALE CHE INVIA DIGITAZIONI NEL MESORETTO , ALCUNE DELLE QUALI SEGUONO I VASI EMORROIDARI.
NEL MESORETTO SONO PRESENTI LINFONODI SOSPETTI IN NUMERO SUPERIORE A TRE, UNO DEI QUALI , NEL MESORETTO ADESO ALLA FASCIA PERIRETTALE, UN ALTRO IN SEDE EXTRAMESORETTALE A DESTRA, ADESO ALLA FASCIA PERIRETTALE  , SITUATO ESTERNAMENTE AD ESSA. 
PROSTATA AUMENTATA DI DIMENSIONI, DT CIRCA 5,8 CM PER UNA FORMAZIONE ADENOMATOSA CENTRALE CHE SOLLEVA IL PAVIMENTO VESCICALE. 
LINFONODI ASPECIFICI IN SEDE INGUINALE BILATERALE. 
IN CORRISPONDENZA DEL VII SEGMENTO EPATICO , A RIDOSSO DELLA VENA SOVRAEPATICA DESTRA SENZA CLIVAGGIO DA ESSA DI CIRCA 2,8 CM, DEL VI SEGMENTO EPATICO IN SEDE SUPERFICIALE DI CIRCA 2,8 CM , A CAVALLO TRA V E IV SEGMENTO EPATICO IN SEDE SUPERFICIALE DI CIRCA 1 CM SONO  PRESENTI TRE LESIONI RIPETITIVE EPATICHE.
IN CORRISPONDENZA DEL VII SEGMENTO EPATICO Ãˆ PRESENTE UN'IMMAGINE NETTAMENTE IPERINTENSA NELLE SEQUENZE T2-DIPENDENTI SENZA ENHANCEMENT DOPO MDC DEL DIAMETRO DI CIRCA 6,5 CM DA RIFERIRE A CISTI.
COESISTONO ALTRE MINUTE IMMAGINI CISTICHE DISTRIBUITE IN TUTTI I SEGMENTI DEL FEGATO DESTRO LA MAGGIORE DELLE QUALI CONTIGUA ALLA LESIONE CISTICA MAGGIORE DI CIRCA 14 MM , LE ALTRE DI DIMENSIONI MILLIMETRICHE. RISPETTIVAMENTE DI CIRCA 5 MM.
NORMALE LA CONCENTRAZIONE E L'ESCREZIONE DEL MEZZO DI CONTRASTO IN FASE EPATO-BILIARE.
NORMALE IL CALIBRO DELLE VIE BILIARI SIA INTRA CHE EXTRAEPATICHE. 
LA COLECISTI RIPIEGATA SUL CORPO HA CONTENUTO OMOGENEO.
NON EVIDENTI AREE FOCALI O DIFFUSE DI ALTERATA INTENSITÃ€ DI SEGNALE DELPARENCHIMA PANCREATICO.
NON ECTASIA DEL DOTTO PANCREATICO PRINCIPALE.
MILZA, RENI E SURRENI NEI LIMITI.
CONCLUSIONI STADIAZIONE RM T3  EMVI N2MRF+ EXTRAMESORETTALE  M1</t>
  </si>
  <si>
    <t>{'altro': 'fegato'}</t>
  </si>
  <si>
    <t>RM ADDOME INFERIORE (S/C MDC)
L'ESAME Ãˆ STATO ESEGUITO MEDINATE SEQUENZE FSE,DWI, DISCO DOPO MDC, PROHANCE.
IN CORRISPONDENZA DEL RETTO MEDIO-ALTO, DA CIRCA 5,5 CM DALLO SFINTERE ANALE INTERNO CON ESTENSIONE CRANIALE PER CIRCA 4,4 CM SI SEGNALA ISPESSIMENTO PARIETALE CIRCONFERENZIALE CHE INFILTRA E RETRAE ANTERIORMENTE IL PERITONEO , INVADE CON DIGITAZIONI CHE SEGUONO I VASI EMORROIDARI IL MESORETTO .
NEL MESORETTO E  LUNGO I VASI EMORROIDARI SUPERIORI SONO PRESENTI LINFONODI SOSPETTI IN NUMERO SUPERIORE A TRE  DUE  DEI QUALI DI CIRCA 8 MM ADESI ALLA FASCIA PERIRETTALE.
PICCOLI LINFONODI, ASPECIFICI, IN SEDE OTTURATORIA ED INGUINALE BILATERALE .
LA PROSTATA Ãˆ LIEVEMENTE AUMENTATA DI DIMENSIONI , DT CIRCA 4,3 .
SIMMETRICHE LE VESCICOLE SEMINALI.
CONCLUSIONI: STADIAZIONE RM T4A N2 MRF+EMVI</t>
  </si>
  <si>
    <t>['mesorettali', 'rettali_superiori']</t>
  </si>
  <si>
    <t>RM ADDOME SUPERIORE E INFERIORE (S/C MDC)
STUDIO RM CONDOTTO MEDIANTE SEQUENZE SSFSE, DWI, FSPGR 2D E 3D-LAVA PRIMA E DOPO SOMMINISTRAZIONE EV DI MDC PARAMAGNETICO (MULTIHANCE 0.2 ML/KG) PREVIA DISTENSIONE DEL RETTO CON GEL.  
IN CORRISPONDENZA DEL RETTO MEDIO-ALTO/SIGMA DISTALE, A CIRCA 5.4 CM DA OAI, SI EVIDENZIA ISPESSIMENTO CONCENTRICO ESTESO IN SENSO CAUDO-CRANIALE PER CIRCA 7.3 CM, CHE INTERESSA LA PARETE A TUTTO SPESSORE, CON DIGITAZIONI NEL MESORETTO ANTERIORE DI SINISTRA E CRANIALMENTE A CONTATTO CON LA RIFLESSIONE PERITONEALE FOCALMENTE RETRATTA. ALCUNI LINFONODI SUBCENTIMETRICI NEL MESORETTO DI SINISTRA RISPETTIVAMENTE A H 5 E H 5-6, NEL MESORETTO POSTERIORE DI DESTRA A H 7 E IN SEDE EMORROIDARIA SUPERIORE. LINFONODI CON ASSE CORTO &lt;1 CM IN SEDE PARAORTICA SINISTRA.
FEGATO DI DIMENSIONI E MORFOLOGIA NEI LIMITI DELLA NORMA, CON NORMALI CARATTERISTICHE DELL'INTENSITÃ€ DEL SEGNALE; SI SEGNALANO DUE PICCOLE FORMAZIONI CISTICHE RISPETTIVAMENTE AL DOMO EPATICO, TRA IV E VIII SEGMENTO E NEL VI SEGMENTO IN SEDE SUBCAPSULARE (DIAMETRO MASSIMO 9 MM). VIE BILIARI INTRA- ED EXTRAEPATICHE NON DILATATE; COLECISTI FISIOLOGICAMENTE DISTESA, A SEGNALE ENDOLUMINALE OMOGENEO.
PANCREAS NORMORAPPRESENTATO, ESENTE DA ALTERAZIONI DELL'INTENSITÃ€ DI SEGNALE. DOTTO PANCREATICO PRINCIPALE NON DILATATO.
MILZA NEI LIMITI DELLA NORMA. ASSE VENOSO SPLENO-MESENTERICO-PORTALE PERVIO. NON ESPANSI SURRENALICI A DESTRA; ASPETTO GLOBOSO DEL SURRENE DI SINISTRA, OVE SI CONFERMA PICCOLO NODULO DELLA PARS COMUNE, DEL DIAMETRO DI CIRCA 1 CM, LE CUI CARATTERISTICHE DI SEGNALE SONO COMPATIBILI IN PRIMA IPOTESI CON MIELOLIPOMA.
PRESENZA DI MULTIPLE CISTI CORTICALI IN ENTRAMBI I RENI, LA MAGGIORE A SINISTRA DEL DIAMETRO DI 4.2 CM; CAVITÃ€ CALICO-PIELICHE NON DILATATE. NON FALDE DI VERSAMENTO LIBERO ENDOADDOMINALE.</t>
  </si>
  <si>
    <t>RM ADDOME INFERIORE
L'ESAME Ãˆ STATO ESEGUITO MEDIANTE SEQUENZE FSE,DWI.
 IN CORRISPONDENZA DEL RETTO MEDIO-BASSO , DA CIRCA 4 CM DALLO SFINTERE ANALE INTERNO CON ESTENSIONE CRANIALE PER CIRCA 4 CM,  SI SEGNALA FORMAZIONE AGGETTANTE , DI MORFOLOGIA PAPILLARE CHE OCCUPA 2/4 DELLA CIRCONFERENZA DEL LUME CON EPICENTRO IN CORRISPONDENZA DELLA PARETE ANTERO-LATERALE DESTRA DEL RETTO ED INVIA DIGITAZIONI NEL GRASSO PERIRETTALE.
NEL MESORETTO SONO PRESENTI TRE LINFONODI SOSPETTI , IL MAGGIORE DEI QUALI CON ASSE CORTO DI CIRCA 6 MM ,  DISOMOGENEO, ADESO , ALLE ORE 8, ALLA FASCIA PERIRETTALE .
DIFFUSO ISPESSIMENTO DELLE PARETI DELLA VESCICA.
PROSTATA AUMENTATA DI DIMENSIONI (DIAMETRO TRASVERSO CIRCA 4,5 CM) CON  FORMAZIONE ADENOMATOSA CENTRALE CHE SOLLEVA IL PAVIMENTO VESCICALE .
PICCOLA ERNIA INGUINALE SINISTRA CON IMPEGNO DI TESSUTO ADIPOSO.
CONCLUSIONI: STADIAZIONE RM T3 N1MRF+</t>
  </si>
  <si>
    <t>RM ADDOME INFERIORE (S/C MDC)
L'ESAME E STATO ESEGUITO MEDIANTE SEQUENZE FSE, DWI,DISCO DOPO MDC, PROHANCE.
IN CORRISPONDENZA DEL RETTO MEDIO-ALTO, DA CIRCA 5,5 CM DALLO SFINTERE ANALE INTERNO CON ESTENSIONE CRANIALE PER CIRCA 4,2 CM E PRESENTE FORMAZIONE AGGETTANTE CON EPICENTRO IN CORRISPONDENZA DELLA PARETE LATERALE DESTRA CHE OCCUPA DUE QUARTI DELLA CIRCONFERENZA DEL LUME ED INVIA DIGITAZIONI NEL MESORETTO.
LUNGO I VASI EMORROIDARI SUPERIORI SONO PRESENTI TRE LINFONODI SOSPETTI CON ASSE CORTO DI CIRCA 6-7 MM UNO DEI QUALI ADESO ALLA FASCIA PERIRETTALE 
UN LINFONODO SOSPETTO E PRESENTE IN SEDE LATERALE DESTRA CON ASSE CORTO DI CIRCA 5 MM .
LINFONODI ASPECIFICI IN SEDE ILIACA ESTERNA BILATERALE.
PROSTATA AUMENTATA DI DIMENSIONI, DT CIRCA 5 CM CON FORMAZIONE ADENOMATOSA CENTRALE.
DIFFUSO ISPESSIMENTO DELLE PARETI VESCICALI.
CONCLUSIONI: STADIAZIONE RM T3 N2 MRF+</t>
  </si>
  <si>
    <t>RM ADDOME INFERIORE (S/C MDC)
L'ESAME E STATO ESEGUITO MEDIANTE SEQUENZE FSE, DWI, DISCO DOPO MDC, PROHANCE.
IN CORRISPONDENZA DELLA PARETE ANTERIORE DEL RETTO BASSO, DA CIRCA 1 CM DALLO SFINTERE ANALE INTERNO PER UN'ESTENSIONE CRANIALE DI CIRCA 3,5  CM, E PRESENTE FORMAZIONE AGGETTANTE  CHE OCCUPA 2/4 DELLA CIRCONFERENZA DEL LUME CON FINI DIGITAZIONI NEL MESORETTO DI PROFONDITA INFERIORE A 3 MM ,
UN LINFONODO SOPETTO NEL MESORETTO LATERALE A SINISTRA CON ASSE CORTO DI CIRCA 8 MM.
LINFONODI  ASPECIFICI, IN SEDE INGUINALE BILATERALE E LUNGO ENTRAMBI GLI ASSI ILIACI.
UTERO FIBROMATOSO, CON NODO MIOMATOSO DI CIRCA 16 MM IN CORRISPONDENZA DEL FONDO, IN SEDE PARAMEDIANA SN. 
ASPETTO DISOMOGENO DEL COLLO UTERINO, , DA VALUTARE CLINICAMENTE.
OVAIO DI SN LIEVEMENTE AUMENTATO DI DIMENSIONI, CIRCA 2,5 CM .
CONCLUSIONI; STADIAZIONE RM T3AN1</t>
  </si>
  <si>
    <t>N1a</t>
  </si>
  <si>
    <t>RM ADDOME INFERIORE (S/C MDC)
ESAME ESEGUITO SECONDO PIANI MULTIPLI, MEDIANTE SEQUENZE T1- E T2-DIPENDENTI, STUDIO IN DIFFUSIONE, PRIMA E DOPO SOMMINISTRAZIONE ENDOVENOSA DI MEZZO DI CONTRASTO PARAMAGNETICO (PROHANCE, 14 ML) PREVIA DISTENSIONE DELL'AMPOLLA RETTALE CON GEL ECOGRAFICO. 
IN CORRISPONDENZA DEL RETTO ALTO, A 7 CM DALLO SFINTERE ANALE INTERNO, SI SEGNALA ISPESSIMENTO PARIETALE CHE OCCUPA L'EMICIRCONFERENZA ANTERIORE DEL VISCERE,
CON SPESSORE MASSIMO DIÂ 6 MM ED ESTENSIONE LONGITUDINALE DIÂ 5 CM LUNGO LA GIUNZIONE RETTO-SIGMA A LIVELLO DELLA RIFLESSIONE PERITONEALE, A SEGNALE DISOMOGENEAMENTE IPERINTENSO NELLE SEQUENZE T2-DIPENDENTI, RESTRIZIONE DELLA DIFFUSIONE E DISOMOGENEA IMPREGNAZIONE POST-CONTRASTOGRAFICA. 
LA LESIONE INVIA FINI DIGITAZIONI NEL MESORETTO A DESTRA CON PROFONDITÃ€ INFERIORE A 5 MM.
NEL MESORETTO E LUNGO I VASI EMORROIDARI SUPERIORI SONO PRESENTI NUMEROSI PICCOLI LINFONODI, CON ASSE CORTO MASSIMO DI 4 MM.
LINFONODI ASPECIFICI CON ASSE CORTO SUBCENTIMETRICO IN SEDE OTTURATORIA E ILIACA ESTERNA SINISTRA.
PROSTATA AUMENTATA DI DIMENSIONI, DIAMETRO TRASVERSO DI 4,6 CM.
CORDONE FIBROSO IPOINTENSO NELLE SEQUENZE T2 DIPENDENTI A PARTENZA DALLA CUPOLA VESCICALE DA RIFERIRE A RESIDUO DI URACO.
NON VERSAMENTO LIBERO.
STADIAZIONE RM: T3N0</t>
  </si>
  <si>
    <t>RM ADDOME INFERIORE
L'ESAME Ãˆ STATO ESEGUITO MEDIANTE SEQUENZE FSE,DWI.
IN CORRISPONDENZA DEL RETTO MEDIO-ALTO , A PREVALENTE SVILUPPO IN CORRISPONDENZA DEL RETTO ALTO,  SI SEGNALA ISPESSIMENTO PARIETALE CONCENTRICO CHE SI ESTENDE DA CIRCA 6,5 CM DALLO SFINTERE ANALE INTERNO CRANIALMENTE PER CIRCA 5 CM. 
L'ISPESSIMENTO PARIETALE , MODERATAMENTE IPERINTENSO NELLE SEQUENZE T2-DIPENDENTI, RETRAE IL PERITONEO ED INVIA DIGITAZIONI POLIPOIDI CHE INGLOBANO I VASI EMORROIDARI E RAGGIUNGONO LA FASCIA PERIRETTALE ALLE ORE 5 ED ALLE ORE 7 A RIDOSSO DEI VASI ILIACI INTERNI BILATERALMENTE.
LINFONODI  "A GRAPPOLO" IN NUMERO SUPERIORE A TRE LUNGO I VASI EMORROIDARI SUPERIORI , I MAGGIORI CON ASSE CORTO DI CIRCA 1 CM.
PROSTATA AUMENTATA DI DIMENSIONI (DIAMETRO TRASVERSO CIRCA 5,8 CM X 1 FORMAZIONE ADENOMATOSA CENTRALE CHE SOLLEVA IL PAVIMENTO VESCICALE 
DIFFUSO ISPESSIMENTO DELLE PARETI VESCICALI CON ASSOCIATI PICCOLI DIVERTICOLI.
DIFFUSO ISPESSIMENTO MUCOSO DEL RETTO MEDIO-BASSO.
MINIMA FALDA FLUIDA IN PELVI ED IMBIBIZIONE DEL MESORETTO.
CONCLUSIONI: STADIAZIONE RM T4A N2 EMVI</t>
  </si>
  <si>
    <t>['mesorettali', 'rettali_superiori', 'iliaci_interni']</t>
  </si>
  <si>
    <t>RM ADDOME INFERIORE (S/C MDC)
L'ESAME Ãˆ STATO ESEGUITO MEDIANTE SEQUENZE FSE,DWI, DISCO.
IN CORRISPONDENZA DEL RETTO MEDIO-BASSO SI SEGNALA ISPESSIMENTO PARIETALE IRREGOLARE PREVALENTE A LIVELLO DELLA PARETE ANTERO-LATERALE SN DEL VISCERE (DA ORE 11 A ORE 6), CON ASPETTO VEGETANTE/POLIPIDE NEL LUME, SEGNALE DISOMOGENEAMENTE IPERINTENSO NELLE SEQUENZE T2W (COMPONENTE MUCINOSA?), RESTRIZIONE IN DWI ED IMPREGNAZIONE POST-CONTRASTOGRAFICA ESTESO CAUDALMENTE A RIDOSSO DELL'ORIFIZIO ANALE INTERNO E CRANIALMENTE PER CIRCA 8.5 CM; COESISTONO SUL VERSANTE ANTERO-LATERALE SN DEL VISCERE MULTIPLE DIGITAZIONI NEL MESORETTO CON LINFONODI (IN NUMERO SUPERIORE A 3) ROTONDEGGIANTI, ALCUNI CON CORE NECROTICO, IL MAGGIORE IN SEDE POSTERO-LATERALE SN, DELLE DIMENSIONI ASSIALI MASSIME DI 12X14MM. IN PARTICOLARE UNO DI ESSI NEL MESORETTO A SN, A MARGINI IRREGOLARI E SPICULATI CON DIMENSIONI ASSIALI MASSIME DI 10MM LAMBISCE LA FASCIA MESORETTALE. COESISTONO ADENOPATIE LUNGO I VASI EMORROIDARI SUPERIORI (DIMENSIONI ASSIALI MASSIME DI 10X14MM). 
IN CORRISPONDENZA DELLA PARETE POSTERIORE DEL RETTO ALTO ALLA GIUNZIONE CON IL SIGMA COESISTE FORMAZIONE POLIPOIDE CON AGGETTO ENDOLUMINALE, CHE MOSTRA SEGNI DI RESTRIZIONE DEL SEGNALE IN DWI ED IMPREGNAZIONE DI CONTRASTO DELLE DIMENSIONI MASSIME DI 1 CM CIRCA; NON SEGNI DI ESTENSIONE EXTRAPARIETALE AL TESSUTO ADIPOSO PERIVISCERALE A TALE LIVELLO. NON VERSAMENTO NEL DOUGLAS.</t>
  </si>
  <si>
    <t>RM ADDOME INFERIORE (S/C MDC)
L'ESAME Ãˆ STATO ESEGUITO MEDIANTE SEQUENZE FSE,DWI, DISCO DOPO MDC.
IN CORRISPONDENZA DEL RETTO MEDIO-ALTO , DA CIRCA 5,3 CM DALLO SFINTERE ANALE INTERNO CON ESTENSIONE CRANIALE PER CIRCA 6 CM , Ãˆ PRESENTE ISPESSIMENTO PARIETALE CIRCONFERENZIALE CHE INVIA  DIGITAZIONI POLIPOIDI NEL MESORETTO CHE INGLOBANO I VASI EMORROIDARI SUPERIORI , ALCUNE DIGITAZIONI ANTERIORMENTE RAGGIUNGONO LA FASCIA PERIRETTALE E PIU' CRANIALMENTE RETRAGGONO IL PERITONEO.
NEL MESOTRETTO  SONO PRESENTI LINFONODI SOSPETTI IN NUMERO SUPERIORE A TRE I MAGGIORI DEI QUALI CON ASSE CORTO DI CIRCA 8 MM 
PICCOLO LINFONODO ASPECIFICO IN SEDE OTTURATORIA SINISTRA .
IN SEDE PRESACRALE , ADESO ALLA FASCIA PRESACRALE , SI SEGNALA LA PRESENZA DI TESSUTO DI MORFOLOGIA NODULARE CHE SEGUE ED AVVOLGE I VASI EMORROIDARI SUPERIORI .
PROSTATA AUMENTATA DI DIMENSIONI (DIAMETRO TRASVERSO CIRCA 5 CM ) PER LA  PRESENZA DI UNA FORMAZIONE ADENOMATOSA CENTRALE CHE SOLLEVA IL PAVIMENTO VESCICALE .
CONCLUSIONI: STADIAZIONE RM T4N2 EMVI</t>
  </si>
  <si>
    <t>['mesorettali', 'rettali_superiori', 'otturatori']</t>
  </si>
  <si>
    <t>RM ADDOME INFERIORE (S/C MDC)
L'ESAME Ãˆ STATO ESEGUITO MEDIANTE SEQUENZE FSE, DWI E DISCO PRIMA E DOPO SOMMINISTRAZIONE EV DI MDC PARAMAGNETICO (PROHANCE, 14 ML).
ESITI DI COLOSTOMIA IN FIANCO SINISTRO. PRESENZA DI DIVERTICOLSI DEL SIGMA.
 IN CORRISPONDENZA DEL RETTO MEDIO-ALTO, DA CIRCA 7 CM DALLO SFINTERE ANALE CON ESTENSIONE CRANIALE PER CIRCA 7 CM SI OSSERVA GROSSOLANO ED IRREGOLARE ISPESSIMENTO PARIETALE A TUTTO SPESSORE, CON ESTENSIONE EXTRA-PARIETALE AD EPICENTRO POSTERIORE, DI NATURA ETROFORMATIVA. LA NEOFORMAZIONE SI ESTENDE NEL MESORETTO, INFILTRA LA FASCIA PERIRETTALE, MARCATAMENTE ISPESSITA E LE RIFLESSIONI PERITONEALI DELLE PARETE POSTERIORE, CON TESSUTO SOLIDO EXTRA-PARIETALE DISPOSTO RISPETTIVAMENTE TRA ORE 2 E 4 (DIMENSIONI 3.5 X 2.6 CM) E TRA ORE 5 E 9 (DIMENSIONI 6.5 X 4.5 CM). POSTERIORMENTE LA NEOFORMAZIONE DI MAGGIORI DIMENSIONI GIUNGE A CONTATTO CON LA PARETE ANTERIORE DEL SOMA DI S3, CHE PRESENTA CORTICALE CONSERVATA MA ALTERATA INTENSITÃ€ DI SEGNALE (EDEMA? INFILTRAZIONE?). NEL CONTESTO DEL TESSUTO DESCRITTO SONO PRESENTI MINUTE BOLLE AEREE VEROSIMILMENTE IN RAPPORTO A COMUNICAZIONE CON IL LUME INTESTINALE.
SI OSSERVANO MULTIPLI (4) LINFONODI NEL MESORETTO E LUNGO I VASI EMORROIDARI SUPERIORI, IL MAGGIORE A SINISTRA CON ASSE CORTO DI 6 MM.
NON VERSAMENTO LIBERO IN PELVI.
CONCLUSIONI: NEOPLASIA DEL RETTO MEDIO-ALTO: T4A, N2A; STADIO IIIB.</t>
  </si>
  <si>
    <t>{'sacro': True}</t>
  </si>
  <si>
    <t>['n_classification', 'depositi_tumorali']</t>
  </si>
  <si>
    <t>RM ADDOME INFERIORE (S/C MDC)
ESAME ESEGUITO IMPIEGANDO SEQUENZE FSE, DWI E DISCO, PRIMA E DOPO SOMMINISTRAZIONE EV DI MDC ORGANO IODATO (PROHANCE 15 ML).
IN CORRISPONDENZA DEL RETTO MEDIO-ALTO SI DOCUMENTA ISPESSIMENTO PARIETALE CONCENTRICO, DA CIRCA 6 CM DALLO SFINTERE ANALE INTERNO ED ESTESO CRANIALMENTE PER CIRCA 5,6 CM, INDISSOCIABILE DA UN GROSSOLANO DEPOSITO TUMORALE DI CIRCA 13 MM NEL MESORETTO POSTERIORE (ORE 8) CHE INGLOBA I VASI EMORROIDARI. IN SEDE ANTERIORE (ORE 12), LA LESIONE GIUNGE IN PROSSIMITÃ€ DELLA FASCIA MESORETTALE, CHE APPARE RETRATTA.
LINFONODI SOSPETTI (&gt; 4) IN SEDE MESORETTALE (IL MAGGIORE ALLE ORE 7 DI 5 MM) E LUNGO I VASI EMORROIDARI SUPERIORI (IL MAGGIORE DI 7 MM).
VESCICA FISIOLOGICAMENTE DISTESA, CON PARETI DIFFUSAMENTE ISPESSITE; FORMAZIONE DIVERTICOLARE SULLA PARETE LATERALE SINISTRA DI 16 MM. PROSTATA DI DIMENSIONI AUMENTATE (DT 5 CM) CON IMPRONTA SUL PAVIMENTO VESCICALE.
DIVERTICOLOSI DEL SIGMA.
NON FALDE FLUIDE NELLO SCAVO DI DOUGLAS.
ANNOTAZIONI: STADIO RM T3 MRF+, N+.</t>
  </si>
  <si>
    <t>MX</t>
  </si>
  <si>
    <t>RM ADDOME INFERIORE (S/C MDC)
L'ESAME E SATTO ESEGUITO MEDINTE SEQUENZE FSE,DWI, DISCO DOPO MDC.
IN CORRISPONDENZA DEL RETTO MEDIO-BASSO E PRESENTE GROSSOLANA FORMAZIONE AGGETTANTE CHE DISTENDE IL LUME RETTALE, HA UN'ESTENSIONE CAUDO-CRANIALE DI CIRCA 8,5 CM DA CIRCA 1,5 CM DALLA GIUNZIONE RETTO-ANALE .
LA NEOPLASIA INVADE IL MESORETTO DI SINISTRA CON UN GROSSOLANO DEPOSITO TUMORALE CHE INGLOBA  VASI EMORROIDARI. 
SI ASSOCIA DIFFUSO ISPESSIMENTO DELLE PARETI DEL RETTO MEDIO-BASSO CHE SONO INDISSOCIABILI DALLA PROSTATA. 
IL DIFFUSO ISPESSIMENTO PARIETALE DEL RETTO E INDISSOCIABILE INOLTRE DAL PAVIMENTO PELVICO .
SI SEGNALA ISPESSIMENTO NODULARE DELLA FASCIA PERIRETTALE (SPESSORE MASSIMO CIRCA 6 MM) ALLE ORE 9.
PIU CRANIALMENTE UN LINFONODO CON ASSE CORTO DI CIRCA 6 MM E ADESO ALLA FASCIA PERIRETTALE .
LUNGO I VASI EMORROIDARI SUPERIORI SONO PRESENTI ALCUNI LINFONODI CON ASSE CORTO DI CIRCA 7 MM CHE SEGUONO I VASI EMORROIDARI.
LINFONODI IN SEDE LATERALE DESTRA, IL MAGGIORE DEI QUALI CON ASSE CORTO DI CIRCA 1 CM LUNGO I VASI ILIACI INTERNI DI DESTRA.
SI CONFERMA DISTENSIONE DEL COLON A MONTE.
CONCLUSIONI: STADIAZIONE LOCALE RM T4N2 EXTRAMESORETTALE EMVI</t>
  </si>
  <si>
    <t>{'pavimento_pelvico': True}</t>
  </si>
  <si>
    <t>['mesorettali', 'mesenterici_inferiori', 'iliaci_interni']</t>
  </si>
  <si>
    <t>RM ADDOME INFERIORE
L'ESAME E STATO ESEGUITO MEDIANTE SEQUENZE FSE,DWI, DOPO DISTENSIONE DEL RETTO CON GEL, PER LA STADIAZIONE LOCALE DELLA NEOPLASIA
A CIRCA 2 CM DALLO SFINTERE ANALE INTERNO CON ESTENSIONE CRANIALE PER CIRCA 4,5 CM E PRESENTE FORMAZIONE AGGETTANTE " A PLACCA ULCERATA" CHE OCCUPA 3/4 DELLA CIRCONFERENZA DEL LUME CON EPICENTRO IN CORRISPONDENZA DELLA PARETE LATERALE SN CHE INVIA DIGITAZIONI NEL MESORETTO ALCUNE DELLE QUALI A SINISTRA RAGGIUNGONO IL PAVIMENTO PELVICO, IL MUSCOLO ELEVATORE DELL'ANO DI SN ED, ANTERIORMENTE, LA FASCIA PERIRETTALE .
NEL MESORETTO POSTERIORE E NEL MESORETTO LATERALE DI SINISTRA SONO PRESENTI DUE LINFONODI DISOMOGENEI CON ASSE CORTO RISPETTIVAMENTE DI CIRCA 6 E 5 MM, SOSPETTI.
LUNGO I VASI EMORROIDARI SUPERIORI E PRESENTE UN LINFONODO CON ASSE CORTO DI CIRCA 1 CM E MORFOLOGIA ROTONDEGGIANTE.
ESITI DI PREGRESSO INTERVENTO DI TURP . DIAMETRO TRASVERSO DELLA PROSTATA DI CIRCA 5,7 CM.
DIFFUSO ISPESSIMENTO DELLE PARETI VESCICALI.
CONCLUSIONI: STADIAZIONE LOCALE RM T4N1</t>
  </si>
  <si>
    <t>{'altro': "muscolo elevatore dell'ano", 'pavimento_pelvico': True}</t>
  </si>
  <si>
    <t>RM ADDOME INFERIORE (S/C MDC)
ESAME ESEGUITO SECONDO PIANI MULTIPLI MEDIANTE SEQUENZE T1- E T2-DIPENDENTI, STUDIO IN DIFFUSIONE, PRIMA E DOPO SOMMINISTRAZIONE ENDOVENOSA DI MEZZO DI CONTRASTO (PROHANCE), PREVIA DISTENSIONE DELL'AMPOLLA RETTALE CON GEL ECOGRAFICO. ESAME REFERTATO TENUTO CONTO DI TC DEL 24/09/2021.
A LIVELLO DEL RETTO BASSO, A CIRCA 10 MM DALL'ORIFIZIO ANALE INTERNO, SI DOCUMENTA ISPESSIMENTO DELLA PARETE ANTERIORE DEL VISCERE CON SPESSORE MASSIMO DI 10-12 MM ED ESTENSIONE LONGITUDINALE DI 32 MM, CON INTERESSAMENTO DI CIRCA 1/2 ANTERIORE DELLA CIRFONFERENZA DEL VISCERE (CON ESTENSIONE MASSIMA DA ORE 9 A ORE 3), CARATTERIZZATA DA SEGNALE DISOMOGENEAMENTE IPOINTENSO NELLE IMMAGINI T2-DIPENDENTI, MARCATA RESTRIZIONE DELLA DIFFUSIONE E DISOMOGENEA IMPREGNAZIONE POST-CONTRASTOGRAFICA. 
LA LESIONE DETERMINA IRREGOLARITA DELLA MUSCOLARE PROPRIA CON MINIME SPICULATURE CHE INTERESSANO IL TESSUTO ADIPOSO MESORETTALE PER &lt; DI 5 MM, IN PARTICOLARE SUL VERSANTE ANTERO-LATERALE SINISTRO. SUL VERSANTE ANTERIORE LA LESIONE RISULTA FOCALMENTE SCARSAMENTE CLIVABILE DALL'APICE DELLA PROSTATA IN SEDE PARAMEDIANA SINISTRA. 
MULTIPLI LINFONODI AUMENTATI DI DIMENSIONI (N?&gt;5, DIMENSIONI MASSIME 6,5 MM) DI NATURA SOSPETTA IN SEDE MESORETTALE BILATERALE.
NON VERSAMENTO LIBERO.
ANNOTAZIONI: L'ESAME ODIERNO DOCUMENTA BUONA RISPOSTA AL TRATTAMENTO.</t>
  </si>
  <si>
    <t>{'altro': 'prostata '}</t>
  </si>
  <si>
    <t>RM ADDOME INFERIORE (S/C MDC)
INDAGINE ESEGUITA MEDIANTE SEQUENZE FSE, DWI, DISCO, SENZA E CON SOMMINISTRAZIONE E.V. DI MDC PARAMAGNETICO (PROHANCE 0.2 ML/KG), SECONDO PIANI MULTIPLI, PREVIA DISTENSIONE DEL RETTO CON GEL. 
IN MERITO AL QUESITO CLINICO, IN CORRISPONDENZA DEL RETTO MEDIO-ALTO, A CIRCA 6 CM DALL' OAI, SI CONFERMA LA PRESENZA DI UN ISPESSIMENTO DI PARETE CON EPICENTRO IN SEDE POSTERO-LATERALE SINISTRA (SPESSORE 12 MM). TALE LESIONE APPARE IPERINTENSA IN T2W, CON RESTRIZIONE DELLA DIFFUSIONE PROTONICA ED ENHANCEMENT DOPO INFUSIONE DI MDC. LA LESIONE OCCUPA I 3/4 DEL LUME, CON ESTENSIONE CRANIO-CAUDALE DI CIRCA 7 CM, ED INTERESSA LA PARETE RETTALE A TUTTO SPESSORE, CON FINI DIGITAZIONI EXTRAPARIETALI COME PER INIZIALI SEGNI DI SCONFINAMENTO NEL TESSUTO ADIPOSO PERIRETTALE.
COESISTONO MULTIPLI LINFONODI NEL PERIRETTO, IN NUMERO SUPERIORE A 3, IL MAGGIORE DEI QUALI DI CIRCA 12MM AD ORE 5 , NECROTICO. 
LINFONODI CON ASSE CORTO DI 7 MM LUNGO IL DECORSO DEI VASI EMORROIDARI SUPERIORI.
LINFONODO CON ASSE CORTO DI CIRCA 5MM IN SEDE OTTURATORIA DESTRA.
DIFFUSA IMBIBIZIONE PRE-SACRALE.
IN VIA COLLATERALE, MINIMA FALDA FLUIDA NELLO SCAVO PELVICO; PICCOLE FORMAZIONI CISTICHE ANNESSIALI BILATERALI DI VEROSIMILE SIGNIFICATO FUNZIONALE; DIVERTICOLOSI DEL SIGMA.
STADIAZIONE RM: T3A N2</t>
  </si>
  <si>
    <t>RM ADDOME INFERIORE
L'ESAME Ãˆ STATO ESEGUITO MEDIANTE SEQUENZE FSE,DWI, MIRATO ALLA STADIAZIONE LOCALE DELLA NEOPLASIA RETTALE.
IN CORRISPONDENZA DELLA PARETE LATERALE SINISTRA DEL RETTO BASSO , SUBITO AL DI SOPRA DELLO SFINTERE ANALE INTERNO, SI SEGNALA FORMAZIONE AGGETTANTE CHE OCCUPA 2/4 DELLA CIRCONFERENZA DEL LUME CON ESTENSIONE CRANIALE PER CIRCA 3,5  CM E SOLO IN UN PUNTO SCONFINA NEL GRASSO PERIRETTALE CON UN PROFONDITÃ€ DI CIRCA 5 MM.
IN CORRISPONDENZA DELLA PARETE POSTERIORE  DEL RETTO MEDIO , DA CIRCA 6 CM DALLO SFINTERE ANALE INTERNO, CON ESTENSIONE CRANIALE PER CIRCA 3 CM , Ãˆ PRESENTE FORMAZIONE AGGETTANTE CON PREVALENTE COMPONENTE ENDOLUMINALE , DI MORFOLOGIA PEDUNCOLATA, CHE APPARE CONFINATA ALLA PARETE .
NEL MESORETTO E LUNGO I VASI EMORROIDARI SUPERIORI SONO PRESENTI LINFONODI IN NUMERO SUPERIORE A TRE,  I MAGGIORI DEI QUALI CON ASSE CORTO DI CIRCA 8 MM , DISOMOGENEI.
UTERO IN LIEVE RETROFLESSIONE AL MOMENTO DELL'ESAME, AUMENTATO DI DIMENSIONI PER LA PRESENZA DI MULTIPLI NODI MIOMATOSI DI TIPO INTRAMURALE - SOTTOSIEROSO , IL MAGGIORE DEI QUALI IN CORRISPONDENZA DEL FONDO DI CIRCA 3,3 CM.
MINIMA FALDA FLUIDA IN PELVI 
LINFONODI ASPECIFICI IN SEDE ILIACA ESTERNA DESTRA.
CONCLUSIONI: NEOPLASIA DEL RETTO BASSO T3A  N2 . FORMAZIONE AGGETTANTE DEL RETTO MEDIO CONFINATA ALLA PARETE.</t>
  </si>
  <si>
    <t>RM ADDOME INFERIORE
L'ESAME E STATO ESEGUITO MEDIANTE SEQUENZE FSE,DWI, MIRATO ALLA STADIAZIONE LOCALE DELLA NEOPLASIA.
IN CORRISPONDENZA DEL RETTO MEDIO CON EPICENTRO IN CORRISPONDENZA DELLA PARETE POSTERO-LATERALE SN  E PRESENTE FORMAZIONE AGGETTANTE CHE OCCUPA 3/4 DELLA CIRCONFERENZA DEL LUME E DA CIRCA 3 CM DALLO SFINTERE ANALE INTERNO SI ESTENDE CRANIALMENTE PER CIRCA 5 CM
LA NEOPLASIA MODERATAMENTE IPERINTENSA NELLE SEQUENZE T2 DIPENDENTI INVIA DIGITAZIONI NEL MESORETTO UNA DELLE QUALI INGLOBA I VASI EMORROIDARI.
NEL MESORETTO E LUNGO I VASI EMORROIDARI SUPERIORI SONO PRESENTI LINFONODI SOSPETTI IN NUMERO SUPERIORE A TRE , DUE DEI QUALI CON ASSE CORTO RISPETTIVAMENTE DI CIRCA 7 E 6 MM SONO ADESI ALLA FASCIA PERIRETTALE RISPETTIVAMENTE ALLE ORE 8 ED ALLE ORE 5.
UN LINFONODO DI CIRCA 5 MM IN SEDE ILIACA INTERNA DESTRA.
SI ASSOCIA DIFFUSO ISPESSIMENTO PARIETALE DEL RETTO BASSO-GIUNZIONE RETTO-ANO PREVALENTE SUL VERSANTE MUCOSO DA VALUTARE CLINICAMENTE
IN CORRISPONDENZA DEL COLLO UTERINO SONO PRESENTI ALCUNE CISTI DI NABOTH.
FALDA FLUIDA IN CAVITA UTERINA E MINIMA FALDA FLUIDA IN PELVI.
NUMEROSI, GROSSOLANI DIVERTICOLI IN CORRISPONDENZA DEL SIGMA E DEL TRATTO DI PASSAGGIO COLON DISCENDENTE - SIGMA 
STADIAZIONE : NEOPLASIA DEL RETTO MEDIO T3 N2 MRF+ EMVI</t>
  </si>
  <si>
    <t>RM ADDOME INFERIORE (S/C MDC)
ESAME ESEGUITO MEDIANTE SEQUENZE FRFSE, DWI E DISCO PRIMA E DOPO SOMMINISTRAZIONE IV DI MDC PARAMAGNETICO, SECONDO PIANI MULTIPLI, PREVIA DISTENSIONE DEL RETTO CON GEL E IPOTONIZZANTE INTRAMUSCOLO.
IN CORRISPONDENZA DEL RETTO ALTO E DEL PASSAGGIO RETTO-SIGMA ISPESSIMENTO PROLIFERATIVO DELLA PARETE, INTERESSATA CIRCONFERENZIALMENTE DETERMINANDO  MARCATA RIDUZIONE DI CALIBRO /STENOSI DEL LUME ; LA  LESIONE, CHE PRESENTA MARGINE INFERIORE A CIRCA 11 CM DALLO SFINTERE ANALE ED ESTENSIONE CRANIO-CAUDALE DI CIRCA 5,5 CM, E IPERINTENSA NELLE SEQUENZE T2-DIPENDENTI, PRESENTA  RESTRIZIONE DELLA DIFFUSIONE PROTONICA , CORRISPETTIVA IPOINTENSITA NELLA MAPPA ADC ; DOPO MDC PRESENTA ABNORME IMPREGNAZIONE NELL'ACQUISZIONE PERFUSIONALE
LA PARETE DEL RETTO E INTERESSATA A TUTTO SPESSORE  E FOCALMENTE DAL VERSANTE EXTRALUMINALE SI IRRADIANO SOTTILI TRALCI NEL TESSUTO ADIPOSO PERIRETTALE PER CIRCA 7MM, IN CORRISPONDENZA DELLA PARETE LATERALE SINISTRA .
LA LESIONE NON RAGGIUNGE LA FASCIA MESORETTALE (MRF -).
NON SEGNI RM DI INVASIONE DELLO SPAZIO EXTRAMESORETTALE E VASCOLARE EXTRAMURALE.
SOSTANZIALMENTE NELLA NORMA L'ANGOLO DI RIFLESSIONE PERITONEALE.
NELLA NORMA I PIANI DI CLIVAGGI ADIPOSI CON LA PARETE PELVICA E VAGINA-UTERO.
NEL TESSUTO ADIPOSO MESORETTALE SONO PRESENTI MULTIPLI LINFONODI (IN NUMERO &gt;10) , IL MAGGIORE CON ASSE CORTO DI CIRCA 9 MM LOCALIZZATO IN ADIACENZA ALLA PARETE LATERALE DESTRA DEL RETTO ALTO; ULTERIORE LINFONODO CON ASSE CORTO DI 6MM, A ORE 3, LOCALIZZATO A MENO DI 3 MM DALLA FASCIA MESORETTALE (N2). 
MOLTEPLICI LINFONODI NELLA STAZIONE EMORROIDARIA SUPERIORE ED EXTRA-MESORETTALI TRA I QUALI
- OTTURATORI INTERNI DX DX DI 11X6 MM ED 8 MM X 7 MM 
- 3 OTTURATORI INTERNI SINSTRI   DEI QUALI UNO DI 23 MM X 6 MM E DI  9 MMX 5,5 MM
- ILIACI ESTERNI DX UNO TONDEGGIANTE DI 9 MM ED UNO DI 8X 5 MM ; DI MORFOLOGIA NORMALE CON ILO ADIPOSO DUE LINFONODI ILIACI ESTERNI SIN
- MINUTI LINFONODI ILIACI INTERNI E COMUNI BILATERALMENTE 
NON ALTERAZIONI DI SEGNALE DEI SEGMENTI SCHELETRICI ESAMINATI.
IN VIA COLLATERALE, MULTIPLE CISTI DI NABOTH IN SEDE CERVICALE.
NON ASCITE 
CONCLUSIONI: PROCESSO ETEROFORMATIVO DEL RETTO ALTO T3CN2 ( M LINFONODALE?): UTILE COMPLETAMENTO CON PET-TC .</t>
  </si>
  <si>
    <t>giunzione</t>
  </si>
  <si>
    <t>N2b</t>
  </si>
  <si>
    <t>['mesorettali', 'rettali_superiori', 'otturatori', 'iliaci_interni']</t>
  </si>
  <si>
    <t>['iliaci_esterni', 'iliaci_comuni']</t>
  </si>
  <si>
    <t>GuidoImbemba</t>
  </si>
  <si>
    <t xml:space="preserve">IN CORRISPONDENZA DEL RETTO BASSO , DA CIRCA 15 MM DALLO SFINTERE ANALE INTERNO CON ESTENSIONE  CRANIALE  PER CIRCA 5 CM , E PRESENTE GROSSOLANA FORMAZIONE AGGETTANTE A PREVALENTE SVILUPPO ENDOLUMINALE CHE OCCUPA 3/4 DELLA CIRCONFERENZA DEL LUME CON PEDUNCOLO SULLA PARETE POSTERO-LATERALE SINISTRA ""STIRATA"" DALLA FORMAZIONE POLIPOIDE E PERTANTO MAL VALUTABILE. TUTTAVIA CON I LIMITI SUDDETTI, IN CORRISPONDENZA DEL POLO CAUDALE DELLA FORMAZIONE AGGETTANTE SI SEGNALA LIMITE SFUMATO VERSO IL MESORETTO .
NEL MESORETTO E LUNGO I VASI EMORROIDARI SONO PRESENTI ALCUNI LINFONODI IN NUMERO SUPERIORE A TRE DELLE DIMENSIONI COMPRESE TRA 1 ED 1,5 CM. 
UTERO IN MARCATA ANTIVERSOFLESSIONE. IN CORRISPONDENZA DEL COLLO UTERINO SONO PRESENTI ALCUNE CISTI DI NABOTH ED IN CORRISPONDENZA DELLE OVAIE, BILATERALMENTE, NUMEROSE IMMAGINI DI TIPO FOLLICOLARE LE MAGGIORI A SINISTRA DEL DIAMETRO RISPETTIVAMENTE DI CIRCA 3,5 E 2,5 CM. 
CISTI RADICOLARI.
VARICI PELVICHE BILATERALI.
CONCLUSIONI: LA MORFOLOGIA DELLA LESIONE PREVALENTEMENTE AGGETTANTE E CON PEDUNCOLO CHE ""STIRA "" LA PARETE OSTACOLA LA STADIAZIONE DEL T IN PARTICOLARE T2 VST3. LINFOADENOMEGALIE IN NUMERO SUPERIORE A TRE NEL MESORETTO E LUNGO I VASI EMORROIDARI SUPERIORI..
</t>
  </si>
  <si>
    <t>incomplete</t>
  </si>
  <si>
    <t xml:space="preserve">IN CORRISPONDENZA DEL RETTO MEDIO-ALTO A CIRCA 6 CM DALLO SFINTERE ANALE INTERNO CON ESTENSIONE CRANIALE PER CIRCA 
3 CM E PESENTE FORMAZIONE MODERATAMENTE IPERINTENSA CHE OCCUPA 2/4 DELLE CIRCONFERENZA DEL LUME CON EPICENTRO IN CORRISPONDENZA DELLA PARETE LATERALE SN  CON FINI DIGITAZIONI NEL MESORETTO CHE NON SUPERANO 5 MM DI PROFONDITA.
NEL MESORETTO E LUNGO I VASI EMORROIDARI SUPERIORI TRE LINFONODI SOSPETTI IL MAGGIORE DI CIRCA 1 CM .
UTERO AUMENTATO DI DIMENSIONI ( DIAMETRO TRASVERSO E SPESSORE DI CIRCA 9 CM) A CONTORNI POLICICLICI IN RELAZIONE A FIBROMIOMATOSI A NODI MULTIPLI. MULTIPLE CISTI DI NABOTH. 
IN VIA COLLATERALE SI SEGNALA LA PRESENZA DI ALCUNE CISTI RADICOLARI IN SEDE SACRALE. 
CONCLUSIONI: STADIAZIONE RM T3N1
</t>
  </si>
  <si>
    <t>mucinoso</t>
  </si>
  <si>
    <t xml:space="preserve">mesoretto? non dice nulla </t>
  </si>
  <si>
    <t>IN CORRISPONDENZA DEL RETTO ALTO , A CIRCA 10 CM DALLO SFINTERE ANALE INTERNO SI SEGNALA FORMAZIONE AGGETTANTE CHE OCCUPA PRESSOCCHE CIRCONFERENZIALMENTE IL LUME , CON ESTENSIONE CRANIO-CAUDALE DI CIRCA 5,7 CM , A PREVALENTE SVILUPPO ENDOLUMINALE CON FINI DIGITAZIONI EXTRAPARIETALI.
LUNGO I VASI EMORROIDARI SONO PRESENTI LINFONODI DISOMOGENEI, IN NUMERO SUPERIORE A TRE, SOSPETTI, I MAGGIORI CON ASSE CORTO DI CIRCA 8 MM .
CONCLUSIONI; STADIAZIONE RM : NEOPLASIA DEL RETTO ALTO , T3 N2"</t>
  </si>
  <si>
    <t>A CIRCA 3 CM DALLO SFINTERE ANALE INTERNO, CON ESTENSIONE CRANIALE PER CIRCA 6 CM, E PRESENTE ISPESSIMENTO PARIETALE CON PICCOLA QUOTA DI MUCINA CHE OCCUPA 3/4 DELLA CIRCONFERENZA DEL LUME ED INVIA DIGITAZIONI NEL MESORETTO CHE  RAGGIUNGONO LA FASCIA PERIRETTALE.
NEL MESORETTO E LUNGO I VASI EMORROIDARI SUPERIORI SONO PRESENTI LINFONODI IN NUMERO SUPERIORE A TRE IL MAGGIORE DEI QUALI DEL DIAMETRO DI CIRCA 8 MM.
PROSTATA AUMENTATA DI DIMENSIONI (DIAMETRO TRASVERSO CIRCA 5 CM).
SIMMETRICHE LE VESCICOLE SEMINALI.
CONCLUSIONI: STADIAZIONE RM T3CRM+N2
"</t>
  </si>
  <si>
    <t>linf sospetti?</t>
  </si>
  <si>
    <t>ISPESSIMENTO CIRCONFERENZIALE DELLA PARETE DEL RETTO BASSO, A CIRA 18 MM DALL'OAI, PIU EVIDENTE SUL VERSANTE  ANTERIORE OVE PRESENTA UNA COMPONENTE VEGETANTE SEMICIRCONFERENZIALE DELLO SPESSORE DI CIRCA 15 MM, ESTESA IN SENSO CAUDO-CRANIALE PER 48 MM. LA LESIONE ANTERIORMENTE APPARE ADESA AL PIANO FASCIALE, A CONTATTO CON IL FORNICE VAGINALE POSTERIORE; TRALCI E PICCOLE SALIENZE NODULARI NEL CELLULARE ADIPOSO PERIRETTALE, SONO EVIDENTI SUL PROFILO ANTERIORE DELLA LESIONE, IN PARTICOLARE A DX.  
UN LINFONODO MAGGIORE, DELLE DIMENSIONI DI 7X7 MM, CON SOTTILI TRALCI DI RACCORDO ALLA LESIONE, E VISIBILE AD H 9:00, E UN LINFONODO MESORETTALE DEL DIAMETRO DI 6 MM SI APPREZZA AD H 5:00; TRE MINUTI LINFONODI SONO EVIDENTI RISPETTIVAMENTE DUE A H 5:00 E UNO A H 7:00, E ALTRI DUE DI 6 E 5 MM IN SEDE EMORROIDARIA SUPERIORE. 
LA LESIONE E I LINFONODI SEGNALATI MOSTRANO SEGNI DI SPICCATO ENHANCEMENT DOPO MDC. 
"</t>
  </si>
  <si>
    <t>{'altro': 'fornice vaginale posteriore'}</t>
  </si>
  <si>
    <t>linf sospetti? sospetto deposito? il resto non dice nulla</t>
  </si>
  <si>
    <t xml:space="preserve">IN CORRISPONDENZA DEL RETTO MEDIO-ALTO/GIUNZIONE RETTO-SIGMA, A CIRCA 10 CM DA OAE, SI APPREZZA ISPESSIMENTO CONCENTRICO PARIETALE A MARGINI  IRREGOLARI, CHE SI ESTENDE LONGITUDINALMENTE PER CIRCA 5 CM, DAL SEGNALE DISOMOGENEAMENTE IPERINTENSO NELLE SEQUENZE T2 PESATE E CON IMPREGNAIZONE CONTRASTOGRAFICA DISOMOGENEA. 
UNA FORMAZIONE NODULARE DELLE DIMENSIONI DI 12X7 MM, SI ESTENDE DAL PROFILO INFERIORE SN DELLA LESIONE, NEL MESORETTO, RIFERIBILE A DIGITAZIONE DI TESSUTO PATOLOGICO O LINFOADENOPATIA (VEDI IMMAGINI CHIAVE); IN PROSSIMITA UN LINFONODO DI 4 MM NEL MESORETTO A H 1:00 (IMG 3-29). 
MINUTI LINFONODI SI OSSERVANO INOLTRE IN SEDE OTTURATORIA E ILIACA INTERNA DX, ED EMORROIDARIA SUPERIORE SN.
</t>
  </si>
  <si>
    <t>NA</t>
  </si>
  <si>
    <t xml:space="preserve">SI CONFERMA LA PRESENZA DI UN PROCESSO ESPANSIVO-INFILTRATIVO SUBSTENOSANTE, IPERINTENSO IN T2W, CON RESTRIZIONE DELLA DIFFUSIONE PROTONICA ED ENHANCEMENT DOPO INFUSIONE DI MDC, LOCALIZZATO IN CORRISPONDENZA DEL RETTO MEDIO-ALTO, CON MARGINE INFERIORE A CIRCA 6CM DALL'OAI ED ESTENSIONE CRANIO-CAUDALE DI CIRCA 4,5CM. LA LESIONE INTERESSA CIRCONFERENZIALMENTE IL VISCERE,  INFILTRA LA PARETE A TUTTO SPESSORE E SCONFINA NEL TESSUTO ADIPOSO CIRCOSTANTE. 
PRESENZA DI UNA SOTTILE STRIA DI RACCORDO CON LA PARETE POSTERIORE DELL'UTERO; SI ASSOCIA ISPESSIMENTO DELLA RIFLESSIONE PERITONEALE CON MINIMA QUOTA FLUIDA NELLO SCAVO PELVICO. 
MULTIPLI LINFONODI DI PICCOLE DIMENSIONI, DI NATURA SOSPETTA, SONO APPREZZABILI IN SEDE PRESACRALE, LUNGO L'EMORROIDARIA SUPERIORE E NEL PERIRETTO,  IL MAGGIORE DEI QUALI DELLE DIMENSIONI DI 7MM X 5MM CIRCA.
</t>
  </si>
  <si>
    <t>{'utero': True}</t>
  </si>
  <si>
    <t>IN CORRISPONDENZA DELLA PARETE ANTERIORE DEL RETTO BASSO E PRESENTE FORMAZIONE AGGETTANTE CHE DA CIRCA 2 CM DALLO SFINTERE ANALE INTERNO SI ESTENDE CRANIALMENTE PER CIRCA 3, 5 CM . LA NEOPLASIA APPARE MODERATAMENTE IPERINTENSA NELLE SEQUENZE T2 DIPENDENTI, OCCUPA DUE QUARTI DELLA CIRCONFERENZA DEL LUME E NON PRESENTA CLIVAGGIO ANTERIORMENTE IN UN PUNTO DALLA PROSTATA.   
PROSTATA AUMENTATA DI DIMENSIONI (DIAMETRO TRASVERSO CIRCA 5, 5 CM) PER LA PRESENZA DI UNA FORMAZIONE ADENOMATOSA CENTRALE   
TRE LINFONODI SOSPETTI , UNO NEL MESORETTO E DUE, RISPETTIVAMENTE IN SEDE OTTURATORIA DESTRA E SINISTRA.   
CONCLUSIONI: STADIAZIONE RMT4N1  
"</t>
  </si>
  <si>
    <t>{'altro': 'prostata'}</t>
  </si>
  <si>
    <t>IN CORRISPONDENZA DEL RETTO MEDIO-ALTO, DA CIRCA 7,7 CM DALLO SFINTERE ANALE INTERNO, CON ESTENSIONE CRANIALE PER CIRCA 3,5 CM, Ãˆ PRESENTE ISPESSIMENTO PARIETALE CON MORFOLOGIA A ""PLACCA"" CHE OCCUPA TRE QUARTI DELLA CIRCONFERENZA DEL LUME, CON EPICENTRO IN SEDE ANTERO-MEDIALE DX, E CHE INVIA DIGITAZIONI NEL MESORETTO CON UNA STRIA CHE RAGGIUNGE POSTERIORMENTE LA FASCIA MESORETTALE, FOCALMENTE RETRATTA.
 NEL MESORETTO E LUNGO I VASI EMORROIDARI SUPERIORI SONO PRESENTI ALMENO TRE LINFONODI SOSPETTI CON ASSE CORTO DI CIRCA 5 MM.
ALCUNI LINFONODI CON ASSE CORTO &lt;1CM IN SEDE ILIACA ESTERNA E OTTURATORIA BILATERALE E ILIACA INTERNA SN.
 DIFFUSO ISPESSIMENTO DELLE PARETI DELLA VESCICA .
 CONCLUSIONI: STADIAZIONE RM T3N2 MRF+"</t>
  </si>
  <si>
    <t>infiltrazione pavimento pelvico non posso mettere sospetto sennÃ² diventa T4.
mesoretto?</t>
  </si>
  <si>
    <t xml:space="preserve">IN CORRISPONDENZA DELLA PARETE POSTERIORE DEL RETTO BASSO, DA SUBITO AL DI SOPRA DELLO SFINTERE ANALE INTERNO CON ESTENSIONE CRANIALE DI CIRCA 3 CM, Ãˆ PRESENTE FORMAZIONE AGGETTANTE CHE SI PRESENTA MORFOLOGICAMENTE ""A PLACCA"" ED Ãˆ CONTIGUA AL PAVIMENTO PELVICO, ALL'INCROCIO DEI MUSCOLI ELEVATORI DELL'ANO, MA SENZA SICURI SEGNI DI INFILTRAZIONE.  
NON EVIDENTI LINFONODI NEL MESORETTO.  
PICCOLO FIBROMA INTRAMURALE NELLA PARETE ANTERIORE DEL FONDO UTERINO. PICCOLA FORMAZIONE CISTICA IN SEDE ANNESSIALE SN. 
CISTI RADICOLARE SACRALE. 
CONCLUSIONI: STADIAZIONE RM T3N0. </t>
  </si>
  <si>
    <t>sono due formazioni?</t>
  </si>
  <si>
    <t xml:space="preserve">NEL PASSAGGIO RETTO BASSO -RETTO MEDIO E PRESENTE MARCATO ISPESSIMENTO ASIMMETRICO( SPESSORE MAX 1,3 CM )  DELLA PARETE POSTERO LATERALE CHE SI ESTENDE LONGITUDINALMENTE VERSO L'ALTO PER 4 CM E CHE E  IN CONTINUITA, CARNIALMENTE,  CON VOLUMINOSA FORMAZIONE POLIPOIDE DEL DIAMETRO DI 5 CM CON BASE DI IMPIANTO SULLA PARETE LATERALE DX .
EVIDENTI SONO LE IRREGOLARITA DEL VERSANTE EXTRALUMINALE DEL PROCESSO COME PER SCONFINAMENTO NEL CELLUALRE ADIPOSO; NUMEROSI LINFONODI ( IN NUMERO SUPERIORE A 10) , ALCUNE LINFOADENOMEGALIE NEL MESORETTO ED IN PARTICOLARE DI QUELLE POSTERIORI UNA HA DIAMETRO ASSIALE DI 1,2 CM , UNA ( H 5 ) E INDISSOCIABILE SIA DALLA PARETE RETTALE CHE DAL MUSCOLO ELVATORE DELL'ANO VEROSIMILMENTE INFILTRATO.ALTRI LINFONODI NELLA STAZIONE OTTURATORIA  ED ILIACA INTERNA SIN , AL DISSOPRA DEL PASSAGGIO-RETTO SIGMA A SIN ( UNO DIAMETRO ASSIALE DI 1 CM ) E NELLA CATENA EMORROIDARIA SUPERIORE; LINFONODI INGUINALI BILATERALI CON ASSE CORTO INFERIORE AL CM  , PIU NUMEROSI A SIN . 
STADIAZIONE RM T3/4 N2 B
</t>
  </si>
  <si>
    <t>no linf?</t>
  </si>
  <si>
    <t xml:space="preserve">A CIRCA 3,5 CM DALL'OAI SI APPREZZA ISPESSIMENTO PARIETALE ASIMMETRICO SUL VERSANTE ANTERO-LATERALE DESTRO DEL RETTO, ESTESO IN SENSO CAUDO-CRANIALE PER CIRCA 2,8 CM; SI ASSOCIA RETRAZIONE DEL VISCERE SUL VERSANTE ANTERIORE CON EVIDENZA A TALE LIVELLO DI IRREGOLARITA DEL PROFILO ESTERNO.
ALMENO TRE LINFONODI NEL MESORETTO, IL MAGGIORE A SINISTRA DEL DIAMETRO DI CIRCA 7 MM. 
ALCUNI LINFONODI LUNGO LA CATENA EMORROIDARIA SUPERIORE DEL DIAMETRO MASSIMO DI 5 MM. 
NON FALDE FLUIDE IN SEDE PELVICA. 
</t>
  </si>
  <si>
    <t>SI CONFERMA LA PRESENZA DI UN PROCESSO ESPANSIVO-INFILTRATIVO, CON ASPETTO ""A SCODELLA"", IPERINTENSO IN T2W, CON RESTRIZIONE DELLA DIFFUSIONE PROTONICA ED ENHANCEMENT DOPO INFUSIONE DI MDC, LOCALIZZATO IN CORRISPONDENZA DELLA PARETE ANTEROLATERALE DESTRA DEL RETTO MEDIO.
TALE LESIONE CON MARGINE INFERIORE A CIRCA 6CM DALL'OAI,  INTERESSA CIRCA 1/4 DELLA CIRCONFERENZA DEL VISCERE, E MOSTRA ESTESIONE CRANIO-CAUDALE DI CIRCA 4CM. LA PARETE RETTALE Ãˆ INTERESSATA A TUTTO SPESSORE CON INIZIALI SEGNI DI SCNFINAMENTO NEL TESSUTO ADIPOSO PERIRETTALE.
SI SEGNALA LA PRESENZA NEL PERIRETTO ALLE ORE 8 DI UN LINFONODO DELLE DIMENSIONI DI 7MM X 4MM CIRCA; SI ASSOCIA SEMPRE A DESTRA UN ALTRO MILLIMETRICO LINFONODO DI SIGNIFICATO ASPECIFICO (3,5MM). IN SEDE PRESACRALE, A LIVELLO DELLA STAZIONE EMORROIDARIA SONO PRESENTI DUE LINFONODI, IL MAGGIORE DI 7MM X 5MM CIRCA. LINFONODI DI MINORI DIMENSIONI SONO APPREZZABILI A LIVELLO ILIACO ESTERNO E INGUINALE BILATERALMENTE.</t>
  </si>
  <si>
    <t>SI EVIDENZIA ISPESSIMENTO PARIETALE IN PARTE VEGETANTE DEL RETTO ALTO, CHE INTERESSA 1/4 DELLA CIRCONFERENZA SUL VERSANTE POSTERO-LATERALE DX, DEL DIAMETRO CRANIO-CAUDALE DI CIRCA 4 CM. LA LESIONE INFILTRA LA PARETE A TUTTO SPESSORE E TRALCI DI TESSUTO SI ESTENDONO NEL CELLULARE ADIPOSO PERIRETTALE A H 7:00 E H 9:00. UN NODULO DI CIRCA 6 MM Ãˆ PRESENTE SUL PROFILO DELLA LESIONE A H 8:00, DI VEROSIMILE SIGNIFICATO LINFONODALE.
MULTIPLI LINFONODI (&gt;3), DI DIMENSIONI SUB-CENTIMETRICHE, SI APPREZZANO NEL MESORETTO E UN LINFONODO ROTONDEGGIANTE A SEGNALE DISOMOGENEO, IN SEDE PRE-SACRALE, DEL DIAMETRO DI 13 MM."</t>
  </si>
  <si>
    <t>['mesorettali', 'sacrali']</t>
  </si>
  <si>
    <t>IN CORRISPONDENZA DELLA PARETE POSTERO-LATERALE-DESTRA DEL RETTO MEDIO, DA CIRCA 6 CM DALLO SFINTERE ANLE INTERNO CON ESTENSIONE CRANIALE PER CIRCA 3 CM , SI SEGNALA 
FORMAZIONE AGGETTANTE CHE INVIA UNA DIGITAZIONE NEL MESORETTO POSTERIORE CHE SEGUE IN VASI EMORROIDARI .
LINFONODI IN NUMERO SUPERIORE A TRE  NEL MESORETTO E LUNGO I VASI EMORROIDARI SUPERIORI  ,  UNO DEI QUALI ADESO ALLA FASCIA PERIRETTALE  ALLE ORE 7 .
SI SEGNALA LA PRESENZA DI GROSSOLANE LINFOADENOMAGALIE LUNGO I VASI ILIACI COMUNI-INTERNI-ESTERNI BILATERALMENTE CON ASSE CORTO FINO A 14 MM
LINFONODI CON ASSE CORTO INFERIORE AL CM IN SEDE INGUINALE BILATERALE. 
ERNIA INGUINALE A DESTRA , PORTA ERNIARIA DI CIRCA 3 CM.
DIVERTICOLOSI DEL SIGMA .
PROSTATA AUMENTATA DI DIMENSIONI, DT CIRCA 6,4 CM, CHE SOLLEVA IL PAVIMENTO VESCICALE.
DIFFUSO ISPESSIMENTO DELLE PARETI VESCICALI 
CONCLUSIONI: STADIAZIONE RM T3  N2MRF+  EMVI  LE GROSSOLANE LINFOADENOMEGALIE LUNGO I VASI ILIACI NON SONO IN PRIMA IPOTESI  CORRELABILE ALLA NEOPLASIA RETTALE ."</t>
  </si>
  <si>
    <t>IN CORRISPONDENZA DEL RETTO MEDIO, A CIRCA 6 CM DALLO SFINTERE ANALE INTERNO CON ESTENSIONE CRANIALE PER CIRCA 4,7 CM,  Ãˆ PRESENTE GROSSOLANA FORMAZIONE CHE INTERESSA CIRCONFERENZIALMENTE LA PARETE RETTALE ED INVIA GROSSOLANE DIGITAZIONI NEL GRASSO PERIRETTALE POSTERIORE CHE INGLOBANO I VASI EMORROIDARI SUPERIORI, RAGGIUNGONO LA FASCIA PERIRETTALE ED ANTERIORMENTE IL PERITONEO ED IL CORPO DELL'UTERO . 
SI ASSOCIA MINIMA FALDA ASCITICA. 
LINFONODI NEL MESORETTO IN NUMERO SUPERIORE A TRE IL MAGGIORE DEI QUALI DEL DIAMETRO DI CIRCA 1 CM ADESO ALLA FASCIA PERIRETTALE. 
MILLIMETRICI LINFONODI IN SEDE OTTURATORIA BILATERALE. 
CONCLUSIONI: STADIAZIONE RM T4 N2"</t>
  </si>
  <si>
    <t>A CIRCA 38 MM DAL MARGINE ANALE ESTERNO, SUBITO AL DI SOPRA DELLO SFINTERE ANALE INTERNO, SI DOCUMENTA GROSSOLANO ISPESSIMENTO PARIETALE DEL RETTO BASSO (15 MM) CON INTERESSAMENTO DELLA CIRCONFERENZA DEL VISCERE DA ORE 6 AD ORE 12 ED ESTESO LONGITUDINALMENTE PER 51 MM. TALE ISPESSIMENTO MOSTRA MARGINI POLIBULATI E SEGNALE DISOMOGNENEAMENTE IPERINTENSO NELLE SEQUENZE T2-DIPENDENTI (COME PER CONTENUTO IN MUCINA), MARCATA RESTRIZIONE DELLA DIFFUSIONE E DISOMOGENENA IMPREGNAZIONE POST-CONTRASTOGRAFICA. 
LA LESIONE PRESENTA SOSPETTO INTERESSAMENTO DELLA TONACA MUSCOLARE SUL VERSANTE POSTERO-LATERALE DESTRO (ORE 8), CON ASPETTO IRREGOLARE E DENTELLATO DEL PROFILO PARIETALE DEL VISCERE E FOCALE PROPAGGINE DI TESSUTO CHE GIUNGE A RIDOSSO DEL MUSCOLO ELAVATORE DELL'ANO DI DESTRA.
AL LIVELLO DELLA LESIONE COESISTE INOLTRE LIEVE ISPESSIMENTO DELLA PARETE LATERALE SINISTRA DEL VISCERE ( 5 MM), SFUMATAMENTE IPERINTENSA NELLE SEQUENZE T2-DIPENDENTI, CON IPEREMIA DELLA MUCOSA, IN ASSENZA DI SICURI SEGNI DI RESTRIZIONE DELLA DIFFUSIONE (ALTERAZIONI FLOGISICHE?).
MILLIMETRICI LINFONODI CON DIMENSIONI MASSIME DI 3 MM NEL MESORETTO ALTO E LUNGO I VASI EMORROIDARI SUPERIORI.
A LIVELLO DEL SIGMA PROSSIMALE, COMPATIBILMENTE CON LA SCARSA DISTENSIONE DEL VISCERE, SI CONFERMA LA FORMAZIONE ENDOLUMINALE PRECEDENTEMENTE DESCRITTA, CON ASSE TRASVERSO DI 21 MM.
SOSTANZIALMENTE INVARIATE LE LINFOADENOMEGALIE NOTE IN SEDE OTTURATORIA DESTRA (LA MAGGIORE CON ASSE CORTO DI 16 MM), IN SEDE ILIACA ESTERNA DESTRA (LA MAGGIORE CON ASSE CORTO 23 MM), ED IL GROSSOLANO CONGLOBATO LINFONODALE NOTO IN SEDE INGUINALE DESTRA (40 X 18 MM).
VESCICA DISTESA, ESENTE DA INCLUSI.
UTERO CON ISTEROMETRIA LONGITUDINALE DI 7 CM, CON FIBROMA INTRAMURALE DI 10 MM LUNGO LA PARETE ANTERIORE DEL CORPO.
INVARIATE LE CISTI RENALI CORTICALI BILATERALI. 
MNIMA FALDA FLUIDA TRA LE ANSE INTESTINALI."</t>
  </si>
  <si>
    <t>['otturatori']</t>
  </si>
  <si>
    <t>['iliaci_esterni', 'inguinali']</t>
  </si>
  <si>
    <t>scrivono t3? controllare</t>
  </si>
  <si>
    <t xml:space="preserve">ISPESSIMENTO POLIPOIDE DEL RETTO BASSO CIRCONFERENZIALE , A MAGGIOR ESTRINSECAZIONE  NELLA PARETE ANTERIORE  VERSO QUELLE LATERALI E CRANIALMENTE CON PROMINENZZA POLIPOIDE DALLA PARETE POSTERIORE ; IL PROCESSO CUDALMENTE AFFIORA AMPIAMENTE NEL CANALE ANALE ( CIRCA 2/3) E CRANIALMENTE COINVOLGE TUTTO IL RETTO ALTO ( ESTENSIONE LONGITUDINALE CIRCA 13 CM ) .
SUL VERSANTE EXTRAVISCERALE IL PROCESSO SCONFINA OLTRE LA SIEROSA INVIANDO NUMEROSE DIGITAZIONI IPOINTENSE NEL CELLULARE ADIPOSO DEL MESORETTO, QUESTE ULTIME (NEI PIANI INFERIORI) SI RACCORDANO ALL'ELVATORE DELL'ANO ,  FORMANO UNA NODULARITÃ€ SOLIDA NELLA FASCIA MESORETTALE A DX E CRANIALEMNTE PRENDE CONTATTO ANTERIORMENTE  CON LA PARETE UTERINA .
MOLTEPLICI  LINFOADENOMEGALIE IN NUMERO SUPERIORE A TRE ( OLTRE LE 12 ) SEDE DI MALATTIA ALCUNE CON SEGNI DI EXTRACAPSULARITÃ€ NEL MESORETTO ; ALTRE LINFOADENOMEGALIE ED OLTRE LA FASCIA  NELLE STAZIONI ISCHIORETTALE DX , NEL MESOSIGMA INTRAPERITONEALE,  ILIACA INTERNA DX  E INGUINALE SINISTRA.
STADIAZIONE T3-4 N3 </t>
  </si>
  <si>
    <t>{'utero': True, 'pavimento_pelvico': True}</t>
  </si>
  <si>
    <t>IN CORRISPONDENZA DEL RETTO MEDIO-ALTO E PRESENTE FORMAZIONE AGGETTANTE CHE OCCUPA I TRE QUARTI DELLA CIRCONFERENZA DEL LUME, CON EPICENTO IN CORRISPONDENZA DELLA PARETE LATERALE DESTRA, E SI ESTENDE DA CIRCA 4,5 CM DALLO SFINTERE ANALE INTERNO PIU CRANIALMENTE PER CIRCA 5,5 CM. LA LESIONE, DISOMOGENEMENTE IPERINTENSA NELLE SEQUENZE T2 DIPENDENTI PER LA PRESENZA NEL CONTESTO DI PICCOLE AREE DI MUCINA, INVIA FINI DIGITAZIONI NEL MESORETTO.      
NEL MESORETTO SONO PRESENTI LINFONODI IN NUMERO SUPERIORE A TRE, DUE DEI QUALI ADESI ALLA FASCIA PERIRETTALE DEL DIAMETRO RISPETTIVAMENTE DI CIRCA 1 CM.
 IN CORRISPONDENZA DEL SIGMA SONO PRESENTI NUMEROSE GROSSOLANE ESTROFLESSIONI PARIETALI DI TIPO DIVERTICOLARE CON AMPIO COLLETTO. 
SI CONFERMA LA PRESENZA IN SEDE INGUINALE BILATERALE, ILIACA COMUNE-ESTERNA, OTTURATORIA BILATERALMENTE, DI GROSSOLANE LINFOADENOMEGALIE, DI CUI LE MAGGIORI IN SEDE ILIACA ESTERNA DOVE ASSUMONO ASPETTO CONGLOBATO E DIAMETRO, A DX, DI CIRCA 3,9 CM. ALTRE LINFOADENOMEGALIE SONO PRESENTI LUNGO I VASI EMORROIDARI SUPERIORI DEL DIAMETRO DI CIRCA 13 MM.     
IN CONSIDERAZIONE DELL'ETA DELLA PAZIENTE, IL SEGNALE DEL MIDOLLO OSSEO SEMBRA ABNORMEMENTE RIDOTTO IN SEDE PELVICA E SACRALE; TALE REPERTO PUO ESSERE ESPRESSIONE DI SOSTITUZIONE DELLA COMPONENTE ADIPOSA MIDOLLARE.
CONCLUSIONI STADIAZIONE RM T3 N2MRF+ LE LINFOADENOMEGALIE EXTRA MESORETTALI SONO DA METTERE IN  RELAZIONE ALLA PATOLOGIA EXTRA RETTALE DI CUI IL PAZIENTE E  PORTATORE.
"</t>
  </si>
  <si>
    <t>&lt; o &gt; 5?</t>
  </si>
  <si>
    <t>IN CORRISPONDENZA DEL RETTO ALTO, DELLA RIFLESSIONE PERITONEALE CON ESTENSIONE CRANIALE PER CIRCA 5,4 CM , E PRESENTE ISPESSIMENTO PARIETALE CONCENTRICO CHE INVIA DIGITAZIONI  POLIPOIDI EXTRAPARIETALI CHE SEGUONO I  VASI EMORROIDARI. 
LUNGO I VASI EMORROIDARI  SONO PRESENTI LINFONODI SOSPETTI FINO A TRE.
DIFFUSO ISPESSIMENTO DELLE PARETI VESCICALI.
PROSTATA AUMENTATA DI DIMENSIONE (DIAMETRO 5,3 CM ) CHE SOLLEVA IL PAVIMENTO VESCICALE .
CONCLUSIONI: NEOPLSIA DEL RETTO ALTO T3 EMVI N1"</t>
  </si>
  <si>
    <t>SI SEGNALA LA PRESENZA IN CORRISPONDENZA DEL RETTO MEDIO-ALTO CON ESTENSIONE CRANIALE DI CIRCA 5 CM, DA CIRCA 5 CM DALLO SFINTERE ANALE INTERNO, DI UNA FORMAZIONE AGGETTANTE CHE OCCUPA 3/4 DELLA CIRCONFERENZA DEL LUME CON EPICENTRO IN CORRISPONDENZA DELLA PARETE ANTERIORE, INVIA DIGITAZIONI NEL MESORETTO ANTERIORE CHE RAGGIUNGONO E RETRAGGONO IN UN PUNTO IL PERITONEO.
NEL MESORETTO SONO PRESENTI NUMEROSI LINFONODI, IL MAGGIORE DEI QUALI DEL DIAMETRO DI CIRCA 7 MM , UNO DEI QUALI  ADESO ALLA FASCIA PERIRETTALE.
AL MOMENTO DELL'ESAME SI SEGNALA IPERDISTENSIONE DELLA VESCICA CON CUPOLA VESCICALE CHE RAGGIUNGE L'OMBELICALE TRASVERSA.
LA PROSTATA E AUMENTATA DI DIMENSIONI (DIAMETRO TRASVERSO CIRCA 5 CM) CON PROMINENZA DEL III LOBO CHE SOLLEVA IL PAVIMENTO VESCICALE.
CONCLUSIONI: STADIAZIONE RM T4AN2  IPERDISTENSIONE DELLE VESCICA AL MOMENTO DELL'ESAME."</t>
  </si>
  <si>
    <t>{'altro': "muscolo elevatore dell'ano ", 'pavimento_pelvico': True}</t>
  </si>
  <si>
    <t>['iliaci_interni', 'mesorettali']</t>
  </si>
  <si>
    <t>RM SCAVO PELVICO (S/C MDC)
ESAME ESEGUITO MEDIANTE SEQUANZE FSE, GRE E DWI SECONDO PIANI MULTIPLI SENZA E DURANTE SOMMINISTRAZIONE DI MDC EV (PROHANCE, DOSE STANDARD), MIRATO AL QUESITO CLINICO. NON Ãˆ STATO POSSIBILE INSERIRE GEL NEL RETTO PER LE RIFERITE IMPORTANTI EMORROIDI SANGUINANTI DA PARTE DELLA PAZIENTE.
SI CONFERMA ISPESSIMENTO POLIPOIDE DEL RETTO MEDIO-BASSO DELLE DIMENSIONI ASSIALI DI 38X21 MM ED ESTENSIONE CC DI 45 MM DALL'ORIGINE  DEL CANALE ANALE, CON EPICENTRO VEROSIMILMENTE NELLA PARETE LATERALE DESTRA DEL RETTO BASSO. LA PARETE RETTALE SUL VERSANTE LATERALE DESTRO, VEROSIMILMENTE NELLA SEDE DEL PEDUNCOLO, SEMBRA INFILTRATA A TUTTO SPESSORE CON MARGINI IRREGOLARI VERSO IL CELLULARE ADIPOSO ADIACENTE, CON SOSPETTO DI INIZIALE ESTENSIONE EXTRA-VISCERALE (SE 4 IMA 12-13).
SI CONFERMA LA PRESENZA DI QUATTRO PICCOLI LINFONODI NEL MESORETTO, TRE A DESTRA E UNO A SINISTRA; COESISTONO ULTERIORI MINUTI LINFONODI MESORETTALI CON ASSE CORTO &lt; 3 MM. NON APPREZZABILI LINFONODI IN SEDE EMORROIDARIA SUPERIORE. SI CONFERMA LINFONODO CON ASSE CORTO DI 12 MM, A DENSITÃ€ PREVALENTMENTE ADIPOSA NEL CONTESTO, IN SEDE ILIACA ESTERNA DESTRA, ASPECIFICO. ALTRI LINFONODI CON ASSE CORTO SUBCENTIMETRICO IN SEDE INGUINALE BILATERALE, ILIACA ESTERNA DESTRA E OTTURATORIA BILATERALE.
VESCICA POCO DISTESA ESENTE DA GROSSOLANE ALTERAZIONI DI PARETE.
UTERO DI DIMENSIONI NEI LIMITI; ENDOMETRIO LINEARE; CISTI DI NABOTH DI 12 MM. NON ESPANSI IN SEDE ANNESSIALE BILATERALE.
NON VERSAMENTO LIBERO IN PELVI.</t>
  </si>
  <si>
    <t>['inguinali', 'iliaci_esterni']</t>
  </si>
  <si>
    <t>RM ADDOME INFERIORE (S/C MDC)
STUDIO RM CONDOTTO MEDIANTE SEQUENZE FSE, DWI, FSPGR 3D-DISCO CON STUDIO DI PERFUSIONE E 3D-LAVA TARDIVA, DOPO SOMMINISTRAZIONE EV DI MDC PARAMAGNETICO (PROHANCE 0.2 ML/KG), PREVIA DISTENSIONE DEL RETTO CON GEL.
SI EVIDENZIA ISPESSIMENTO PARIETALE CONCENTRICO DEL RETTO ALTO, A CIRCA 10 CM DA OAI, CHE INTERESSA PIU DI TRE/QUARTI DELLA CIRCONFERENZA E DETERMINA SUBSTENOSI DEL LUME, CON ESTENSIONE LONGITUDINALE DI CIRCA 36 MM, RIFERIBILE ALLA NOTA ETEROPLASIA. LA LESIONE, IPERINTENSA NELLE SEQUENZE T2 DIPENDENTI CON SPICCATO CE, INTERESSA LA PARETE A TUTTO SPESSORE, CON FINI DIGITAZIONI NEL CELLULARE ADIPOSO PERIVISCERALE.
MULTIPLI LINFONODI (IN NUMERO SUPERIORE A TRE), SI EVIDENZIANO NEL MESORETTO DI SINISTRA ANCHE A STRETTO CONTATTO CON IL TESSUTO PATOLOGICO, E IN SEDE EMORROIDARIA SUPERIORE, SEMPRE A SINISTRA. PICCOLI LINFONODI ASPECIFICI IN SEDE INGUINALE BILATERALE. NON FALDE DI VERSAMENTO LIBERO NELLO SCAVO PELVICO.
IN VIA COLLATERALE SI SEGNALANO: ASPETTO GLOBOSO DELL'UTERO, DA VALUTARE CON ESAME ECOGRAFICO TV SE NON EFFETTUATO DI RECENTE; CISTI RADICOLARE DEL SACRO.</t>
  </si>
  <si>
    <t>RM ADDOME INFERIORE (S/C MDC)
L'ESAME E STATO ESEGUITO MEDIANTE SEQUENZE FSE,DWI,DISCO DOPO MDC , PROHANCE.
IN CORRISPONDENZA DELLA PARETE ANTEROLATERALE DESTRA  DEL RETTO DA CIRCA 3,5 CM DALLO SFINTERE ANALE INTERNO CON ESTENSIONE CRANIALE PER CIRCA 5,5 CM SI SEGNALA FORMAZIONE AGGETTANTE CHE OCCUPA 3/4 DELLA CIRCONFERENZA DEL LUME CHE INVIA DIGITAZIONI NEL MESORETTO UNA DELLE QUALI RAGGIUNGE E RETRAE IL PERITONEO.
NON EVIDENTE UN CHIARO PIANO DI CLIVAGGIO CON LA CERVICE UTERINA.
LINFONODI SOSPETTI NEL MESORETTO IN NUMERO SUPERIIORE A TRE DEL DIAMETRO MEDIO DI CIRCA 5 MM, UNO DEI QUALI ADESO ALLA FASCIA PERIRETTALE ALLE ORE 8.
VARICI PELVICHE BILATERALI.
CONCLUSIONI.STADIAZIONE RM T4B N2 MRF +</t>
  </si>
  <si>
    <t>RM SCAVO PELVICO (S/C MDC)
MOTIVO DELL'ESAME: STADIAZIONE LOCOREGIONALE IN K RETTO
TECNICA: ESAME RM CONDOTTO MEDIANTE SEQUENZE FRFSE, DWI, FSPGR 3D-DISCO PRIMA E DOPO SOMMINISTRAZIONE EV DI MDC PARAMAGNETICO (PROHANCE 0.2 ML/KG) CON STUDIO DI PERFUSIONE, PREVIA DISTENSIONE DEL RETTO CON GEL.
RISULTATI:
ISPESSIMENTO DELLA PARETE POSTERO-LATERALE DESTRA DEL RETTO BASSO, PER 1/3 DELLA SUA CIRCONFERENZA, IN PARTE VEGETANTE E CON AREA DEPRESSA NEL CONTESTO RIFERIBILE ALLA NOTA ULCERAZIONE, CHE LAMBISCE OAI E SI ESTENDE CRANIALMENTE PER CIRCA 46 MM. LA LESIONE APPARE IPERINTENSA NELLE SEQUENZE T2 DIPENDENTI, CON RESTRIZIONE DELLA DIFFUSIONE PROTONICA E SPICCATO CE; INTERESSA LA PARETE A TUTTO SPESSORE, CON FOCALI SOTTILI SPICULE NEL CELLULARE ADIPOSO MESORETTALE (TRA H 8 E H 10). TRE MINUTI LINFONODI SONO APPREZZABILI NEL MESORETTO DI DESTRA. LINFONODI ASPECIFICI IN SEDE INGUINALE BILATERALE.
VESCICA URINARIA CATETERIZZATA. PROSTATA AUMENTATA DI VOLUME, PER LA VALUTAZIONE DELLA QUALE SI RIMANDA A PRECEDENTE ESAME MIRATO. MINIMA FALDA FLUIDA IN SEDE PELVICA.</t>
  </si>
  <si>
    <t>interno</t>
  </si>
  <si>
    <t>RM ADDOME INFERIORE (S/C MDC)
L'ESAME Ãˆ STATO ESEGUITO MEDIANTE SEQUENZE FSE,DWI,DISCO DOPO DMC, PROHANCE.
IN CORRISPONDENZA DEL RETTO MEDIO-BASSO  DA CIRCA  2 ,5 CM DALLO SFINTERE ANALE INTERNO CON ESTENSIONE CRANIALE PER CIRCA 6,5 CM SI SEGNALA ISPESSIMENTO PARIETALE CIRCONFERENZIALE CHE INVIA DIGITAZIONI NEL MESORETTO, IN PARTICOLARE NEL MESORETTO DI DESTRA.
I TRALCI POSTERIORI POSTERIORI SONO DI MORFOLOGIA LINEARE ED IPOINTENSI COME PER PREVALENZA DI FIBROSI .
NEL MESORETTO E LUNGO I VASI EMORROIDARI SUPERIORI SONO PRESENTI LINFONODI SOSPETTI IN NUMERO SUPERIORE A TRE CON ASSE CORTO FINO AD 8 MM.
UN LINFONODO SOSPETTO RETRAE LA FASCIA PERIRETTALE ALLE ORE 9.
PICCOLO LINFONODO ASPECIFICO IN SEDE OTTURATORIA DESTRA  CIRCA 4 MM
PROSTATA AUMENTATA DI DIMENSIONI , DT CIRCA 4,7 CM , CON PROMINENZA DEL TERZO LOBO CHE SOLLEVA IL PAVIMENTO VESCICALE.
DIFFUSO ISPESSIMENTO DELLE PARETI VESCICALI. 
CONCLUSIONI: STADIAZIONE RMT3N2 MRF+</t>
  </si>
  <si>
    <t>['mesorettali', 'mesenterici_inferiori', 'otturatori']</t>
  </si>
  <si>
    <t>RM ADDOME INFERIORE
L'ESAME Ãˆ STATO ESEGUITO MEDIANTE SEQUENZE FSE,DWI.
IN CORRISPONDENZA DEL RETTO MEDIO-BASSO , DA CIRCA 1 CM DALLO SFINTERE ANALE INTERNO CON ESTENSIONE CRANIALE PER CIRCA 5,5 CM SI SEGNALA FORMAZIONE AGGETTANTE CHE OCCUPA 3/4 DELLA CIRCONFERENZA DEL LUME CON EPICENTRO IN CORRISPONDENZA DELLA PARETE LATERALE DESTRA .
LA NEOPLASIA INVIA DIGITAZIONI POLIPOIDI NEL MESORETTO DI DESTRA  CHE SEGUONO I VAI EMORROIDARI.
NEL MESORETTO E LUNGO I VAI EMORROIDARI SUPERIORI SONO PRESENTI LINFONODI SOSPETTI IN NUMERO SUPERIORE A TRE , TRE DEI QUALI ADESI ALLA FASCIA PERIRETTALE ALLE ORE 9, 11 E 2 .
LINFONODI ASPECIFICI LUNGO L'ASSE ILIACO ESTERNO BILATERALMENTE. 
PROSTATA AUMENTATA DI DIMENSIONI ( DT CIRCA 4,7 CM) CHE SOLLEVA IL PAVIMENTO VESCICALE CON UNA PICCOLA CISTI.
CONCLUSIONI: STADIAZIONE RM T3 EMVI N2 MRF+</t>
  </si>
  <si>
    <t>FINE DI AVERE PROFESSIONALE MOMENTO DELL'ESAME RM ADDOME INFERIORE
L'ESAME Ãˆ STATO ESEGUITO MEDIANTE SEQUENZE FSE,DWI.
A CIRCA 6 CM DALLO SFINTERE ANALE INTERNO, IN CORRISPONDENZA DELLA PARTETE LATERALE DESTRA DEL RETTO MEDIO,  Ãˆ PRESENTE FORMAZIONE AGGETTANTE CHE OCCUPA 3/4 DELLA CIRCONFERENZA DEL LUME E SI ESTENDE CRANIO-CAUDALMENTE PER CIRCA 4,4 CM.
LA LESIONE A PREVALENTE MORFOLOGIA VEGETANTE ENDOLUMINALE SCONFINA NEL MESORETTO CON FINI DIGITAZIONI ( PROFONDITÃ€ INFERIORE A 5 MM) 
NEL GRASSO PERIRETTALE SONO PRESENTI TRE  LINFONODI SOSPETTI,  IL MAGGIORE CON ASSE CORTO DI CIRCA 6 MM. 
UTERO IN ATROFIA POST-MENOPAUSALE.
IN CORRISPOINDENZA DEL  COLLO UTERINO SONO PRESENTI ALCUNE CISTI DI NABOTH.
CISTI RADICOLARI SACRALI 
CONCLUSIONI: STADIAZIONE RM T3AB  N1</t>
  </si>
  <si>
    <t>RM ADDOME INFERIORE (S/C MDC)
L'ESAME Ãˆ STATO ESEGUITO MEDIANTE SEQUENZE FSE,DWI,3D LAVA DOPO MDC, PROHANCE.
IN CORRISPONDENZA DEL TRATTO DI PASSAGGIO RETTO MEDIO-ALTO CON ESTENSIONE AL RETTO ALTO-GIUNZIONE RETTO SIGMA  SI SEGNALA ISPESSIMENTO PARIETALE CHE OCCUPA 3/4 DELLE CIRCONFERENZA DEL LUME CON ESTENSIONE CAUDO-CRANIALE DI CIRCA 7 CM  CHE INVIA DIGITAZIONI NEL GRASSO CIRCOSTANTE E RETRAE IN UN PUNTO  IL PERITONEO  
LUNGO I VASI EMORROIDARI SONO PRESENTI ALCUNI LINFONODI, TRE DEI QUALI SOSPETTI ,  IL MAGGIORE CON ASSE CORTO DI CIRCA 8 MM E DISOMOGENEO CONTIGUO AI VASI ILIACI COMUNI DI SN .
PICCOLO LINFONODO IN SEDE OTTURATORIA SINISTRA CON ASSE CORTO DI CIRCA 6 MM.
PROSTATA DI DIMENSIONI NEI LIMITI.
CONCLUSIONI: NEOPLASIA DEL RETTO MEDIO-ALTO T4A N1</t>
  </si>
  <si>
    <t>['iliaci_comuni']</t>
  </si>
  <si>
    <t>RM ADDOME INFERIORE (S/C MDC)
L'ESAME E STATO ESEGUITO MEDINTE SEQUENZE FSE,DWI,3D LAVA DOPO MDC, PROHANCE.
IN CORRISPONDENZA DELLA PARETE ANTERIORE DEL RETTO BASSO DA CIRCA 2 CM DALLO SFINTERE ANALE INTERNO E PRESENTE FORMAZIONE AGGETTANTE CHE OCCUPA DUE QUARTI DELLA CIRCONFERENZA DEL LUME IN CONTINUITA CON UNA FORMAZIONE DI TIPO PAPILLARE CHE OCCUPA 3/4 DELLA CIRCONFERENZA DEL LUME CON ESTENSIONE COMPLESSIVA DI CIRCA 7,4 CM 
LA NEOPLASIA INVIA DI DIGITAZIONI CHE RAGGIUNGONO ANTERIORMENTE E RETRAGGONO LA  FASCIA PERIRETTALE ALLE ORE 12 MENTRE A MONTE LA NEOPLASIA E IN CONTIGUITA CON DEPOSITI TUMORALI CHE INGLOBANO I VASI EMORROIDARI E  RETRAGGONO LA FASCIA PERIRETTALE ALLE  ORE 10 .
NEL MESORETTO SONO PRESENTI LINFONODI IN NUMERO SUPERIORE A TRE , SEDE DI MALATTIA, UN ALTRO LINFONODO  SEDE DI MALATTIA CON ASSE CORTO DI CIRCA 13 MM  E SITUATO IN SEDE ILIACA INTERNA SN.
VARICI PELVICHE BILATERALI.
CONCLUSIONI: STADIAZIONE RM T3MRF+ EMVI N2 ANCHE EXTRAMESORETTALE</t>
  </si>
  <si>
    <t>RM ADDOME INFERIORE (S/C MDC)
ESAME ESEGUITO MEDIANTE SEQUENZE FSE, DWI E GRE PRIMA E DOPO SOMMINISTRAZIONE I.V. DI CHELATI DEL GD (PROHANCE 8 ML) PREVIA DISTENSIONE DEL RETTO CON GEL ECOGRAFICO. VALUTAZIONE A CONFRONTO CON IL PRECEDENTE ESAME TC DEL 30/09/21.
IN MERITO AL QUESITO CLINICO SI CONFERMA IL VOLUMINOSO ISPESSIMENTO CIRCONFERENZIALE IRREGOLARE DELLE PARETI DEL RETTO MEDIO E SUPERIORE, SOSTENUTO DALLA PRESENZA DI TESSUTO SOLIDO AGGETTANTE NEL LUME, CON INFILTRAZIONE A TUTTO SPESSORE DELLA PARETE ED ESTENSIONE NEL TESSUTO ADIPOSO PERIVISCERALE. LA NEOFORMAZIONE SI ESTENDE A PARTIRE DA 6 CM DALL'ORIFIZIO ANALE ESTERNO SINO AL PASSAGGIO SIGMA-RETTO PER 12 CM. LA NEOPLASIA ANTERIORMENTE OBLITERA IL SETTO RETTO-UTERINO, CON INFILTRAZIONE DELLA FASCIA MESORETTALE E DELLA PARETE POSTERIORE DEL CORPO E DELLA CERVICE UTERINA, INOLTRE, IN SEDE ANTERO-LATERALE DESTRA CONTATTA ALCUNE ANSE TENUALI CHE MOSTRANO ASPETTO RESTRATTO, SOSPETTO PER INFILTRAZIONE.
SI DOCUMENTANO MULTIPLE LINFOADENOMEGALI (&gt; 3) NEL TESSUTO ADIPOSO MESORETTALE, IL MAGGIORE IN SEDE POSTERO-LATERALE DESTRA DEL III MEDIO DEL RETTO, CON ASSE CORTO DI 8 MM. 
LINFONODO CON ASSE CORTO DI 7 MM IN SEDE OTTURATORIA SINISTRA, DI NATURA SOSPETTA. NON LINFOADENOMEGALIE INGUINALI BILATERALMENTE.
SI DOCUMENTA AUMENTO DI CALIBRO, MARGINI IRREGOLARI E DECORSO CONVOLUTO DEI VASI EMORROIDARI, SOSPETTO PER INFILTRAZIONE VASCOLARE (EMVI).
VESCICA POCO DISTESA, ESENTE DA ALTERAZIONI PARIETALI O ENDOLUMINALI.
PRESENZA DI MULTIPLE CISTI DI NABOTH.
NON VERSAMENTO LIBERO IN CAVITA PERITONEALE. IMBIBIZIONE FLUIDA DEL TESSUTO ADIPOSO PRESACRALE.
ANNOTAZIONI
NEOFORMAZIONE DEL RETTO CON STADIO RM: T4B N2.</t>
  </si>
  <si>
    <t>{'altro': 'nello specifico infiltra la cervice uterina ', 'utero': True}</t>
  </si>
  <si>
    <t>RM ADDOME INFERIORE (S/C MDC)
L'ESAME E STATO ESEGUITO MEDIANTE SEQUENZE FSE,DWI, 3D LAVA DOPO MDC.
IN CORRISPONDENZA DEL RETTO BASSO , PARETE ANTERIORE, E PRESENTE FORMAZIONE AGGETTANTE CHE OCCUPA 2/4 DELLA CIRCONFERENZA DEL LUME ,  DA CIRCA 1,7 CM DALLO SFINTERE ANALE INTERNO SI ESTENDE CRANIALMENTE PER CIRCA 3 CM ED INFLTRA ANTERIORMENTE LA PROSTATA.
PIU' CRANIALMENTE , APPARENTEMENTE SEPARATA DALLA PRECEDENTE E PRESENTE FORMAZIONE AGGETTANTE  "A TAPPETO" CHE SI ESTENDE DA CIRCA  6 CM DALLO SFINTERE ANALE INTERNO CRANIALMENTE PER CIRCA 9 CM ED INVIA DI INFILTRAZIONE NEL GRASSO CIRCOSTANTE. 
LUNGO I VASI EMORROIDARI SUPERIORI SONO PRESENTI LINFONODI SOSPETTI IN NUMERO SUPERIORE A TRE. 
DIFFUSO ISPESSIMENTO DELLE PARETI VESCICALI. 
DIAMETRO TRASVERSO DELLA PROSTATA , DT CIRCA 5 CM , PER UNA FORMAZIONE ADENOMATOSA CENTRALE.
CONCLUSIONI : LESIONE  "A TAPPETO " CON UNA COMPONENTE A LIVELLO DEL RETTO BASSO CHE INFILTRA LA PROSTATA , APPARENTENTE SEPARATA  DALLA PRECEDENTE SI SEGNALA UNA COMPONENTE CRANIALE CHE SI ESTENDE AL RETTO MEDIO-ALTO.
LINFONODO IN NUMERO  SUPERIORE A TRE .</t>
  </si>
  <si>
    <t>RM ADDOME INFERIORE (S/C MDC)
INDAGINE ESEGUITA MEDIANTE SEQUENZE DWI(ADC), T2-DIPENDENTI, T1-DIPENDENTI SENZA E CON SOMMINISTRAZIONE IV DI MDC PARAMAGNETICO, SECONDO PIANI MULTIPLI, PREVIA DISTENSIONE DEL RETTO CON GEL E IPOTONIZZANTE IM. 
SI CONFERMA LA PRESENZA IN CORRISPONDENZA DEL RETTO BASSO DI UN PROCESSO ESPANSIVO-INFILTRATIVO MODERATAMENTE IPERINTENSO NELLE SEQUENZE T2-DIPENDENTI, CHE MOSTRA RESTRIZIONE DELLA DIFFUSIONE PROTONICA ED ENHANCEMENT CONTRASTOGRAFICO, DA RIFERIRE ALLA NOTA LESIONE ETEROPLASICA. 
TALE LESIONE INTERESSA 2/4 DELLA PARETE RETTALE AL III INFERIORE, CON EPICENTRO IN SEDE POSTERO-LATERALE SINISTRA ED ESTENSIONE SINO IN SEDE POSTERO-LATERALE DESTRA (DUE QUADRANTI POSTERIORI DELLA PARETE RETTALE), MOSTRANDO SPESSORE ASSIALE MASSIMO IN SEDE POSTERO-LATERALE SINISTRA DI CIRCA 10 MM; A TALE LIVELLO LA MUCOSA APPARE INTERAMENTE INFILTRATA E SI OSSERVA ASPETTO DISOMOGENEO DEL GRASSO PERIRETTALE ADIACENTE, COME PER INFILTRAZIONE DELLO STESSO (IMG CHIAVE). TALE LESIONE SI ESTENDE CRANIALMENTE LUNGO LA PARETE POSTERO-LATERALE SINISTRA DEL RETTO BASSO SINO A RAGGIUNGERE UN PIANO PASSANTE PER IL COCCIGE E CAUDALMENTE SINO AL CANALE ANALE, LUNGO LA SUA PARETE POSTERO-LATERALE SINISTRA, PER CIRCA 20 MM A PARTIRE DALL'ORIFIZIO ANALE INTERNO. LA LESIONE SI ESTENDE IN SENSO CRANIO-CAUDALE PER CIRCA 44 MM.
NON LINDOADENOMEGALIE PELVICHE. DUE MILLIMETRICI (3 MM) LINFONODI NEL MESORETTO A SINISTRA.
SOTTILE FALDA FLUIDA IN SCAVO PELVICO.
LIEVE ECTASIA (6 MM) DELLA CAVITA ENDOMETRIALE; DUE FORMAZIONI CISTICHE ANNESSIALI BILATERALMENTE, LA MAGGIORE A DESTRA DI 17 MM.
CONCLUSIONI: LESIONE DEL CANALE ANALE-RETTO BASSO, CON SOSSPETTA INFILTRAZIONE DEL TESSUTO ADIPOSO MESORETTALE. DUE MILLIMETRICI LINFONODI MESORETTALI, DI NON UNIVOCA INTERPRETAZIONE.</t>
  </si>
  <si>
    <t>RM ADDOME INFERIORE (S/C MDC)
MOTIVO DELL'ESAME: ESAME RICHIESTO PER ETEROFORMAZIONE A MANICOTTO MAMMELLONATA E PER UN TERZO ULCERATA
L'ESAME RM STATO ESEGUITO MEDIANTE SEQUENZE GRE, DWI E FSE CON IMMAGINI SECONDO PIANI MULTIPLI, IN CONDIZIONI DI BASE E DURANTE SOMMINISTRAZIONE E.V. DI CHELATI DEL GD (PROHANCE 12 ML).
SI DOCUMENTA LA PRESENZA DI UN'ISPESSIMENTO CIRCONFERENZIALE DELLE PARETI DELLA RETTO MEDIO, CON UN'ESTENSIONE CRANIO-CAUDALE DI 49 MM E CON UNA MARGINI INFERIORI DELL'ISPESSIMENTO LOCALIZZATO 36 MM DEL MUSCOLO PUBO-RETTALE DI SINISTRA. IRREGOLARE RISULTA L'INTERFACCIA TRA LA PARETE DEL RETTO, SEDE DEL SUDDETTO ISPESSIMENTO, ED IL TESSUTO ADIPOSO PERIRETTALE.
SONO PRESENTI LINFOADENOMEGALIE NEL TESSUTO ADIPOSO PERIRETTALE DI SINISTRA, DEL DIAMETRO ASSIALE MINIMO DI 20 MM, CHE ADERISCE ALLA FASCIA MESORETTALE DI SINISTRA; ULTERIORMENTE DUE LINFONODI, CON MORFOLOGIA ROTONDEGGIANTE, SI OSSERVANO NEL TESSUTO PERIRETTALE POSTERIORE DI SINISTRA. ALTRI 3 LINFONODI, CON MORFOLOGIA ROTONDEGGIANTE DEL DIAMETRO ASSIALE MINIMO INFERIORE A 6 MM, SONO PRESENTI NEL TESSUTO ADIPOSO PERIRETTALE POSTERIORE DI DESTRA.  ULTERIORI LINFOADENOMEGALIE SONO PRESENTI LUNGO I VASI EMORROIDARI INFERIORI DEL DIAMETRO ASSIALE MINIMO DI 9 MM, DI 10 MM.
UN LINFONODO DEL DIAMETRO ASSIALE MINIMO INFERIORE 5 MM E PRESENTE IN SEDE OTTURATORIA DI SINISTRA   
NON VERSAMENTO NEL CAVO DI DOUGLAS.
VESCICA APPARE FISIOLOGICAMENTE DISTESA, ESENTE DA ALTERAZIONI PARIETALI O ENDOLUMINALI.
NEI LIMITI DELLA NORMA LE DIMENSIONI DELLA PROSTATA, CON INIZIALI SEGNI DI IPERPLASIA ADENOMIOMATOSA DELLA ZONA DI TRANSIZIONE 
ANNOTAZIONI CLINICO-RADIOLOGICHE
IL QUADRO DESCRITTO DEPONE PER NEOFORMAZIONE DEL RETTO MEDIO, LOCALMENTE INFILTRANTE E LINFOADENOMEGALIE PERIRETTALI (&gt;3) E LUNGO I VASI EMORROIDARI SUPERIORI.</t>
  </si>
  <si>
    <t>RM ADDOME INFERIORE (S/C MDC)
STUDIO RM CONDOTTO MEDIANTE SEQUENZE FSE, FRFSE, DWI E FSPGR 3D-DISCO, SECONDO PIANI MULTIPLI,  PRIMA E DURANTE SOMMINISTRAZIONE EV DI MDC PARAMAGNETICO (PROHANCE 0.2 ML/KG).  
SI EVIDENZIA FORMAZIONE ESPANSIVA VEGETANTE DI SIGNIFICATO ETEROFORMATIVO A ORIGINE DALLA PARETE ANTERO-LATERALE SINISTRA DEL RETTO MEDIO, A 5 CM DA OAI, CON ESTENSIONE ASSIALE DA ORE 11 A ORE 5 PER CIRCA 1/3 DELLA CIRCONFERENZA E DCC DI CIRCA 4 CM; LA LESIONE APPARE DEBOLMENTE IPERINTENSA NELLE SEQUENZE T2 DIPENDENTI, CON RESTRIZIONE DELLA DIFFUSIVITA PROTONICA NELLE SEQUENZE DWI/ADC E SPICCATO E DISOMOGENEO CE, INFILTRA LA PARETE A TUTTO SPESSORE CON SPICULE CHE SI ESTENDONO NEL TESSUTO ADIPOSO MESORETTALE - IN PARTICOLARE TRA ORE 12 E ORE 3 -, GIUNGENDO ALLA FASCIA MESORETTALE CHE APPARE FOCALMENTE INFILTRATA E RETRATTA. NEL MESORETTO POSTERIORE DI SINISTRA, ATTRAVERSO UNA PROPAGGINE TISSUTALE DI RACCORDO CON LA NEOPLASIA RETTALE, SI DOCUMENTA UNA FORMAZIONE SOLIDA DISOMOGENEAMENTE IPERINTENSA NELLE SEQUENZE T2 DIPENDENTI, CARATTERIZZATA DALLA PRESENZA DI COMPONENTE NECROTICA/MUCINOSA NEL CONTESTO E DA CE PREVALENTEMENTE POSTERIORE E PERIFERICO, DELLE DIMENSIONI ASSIALI MASSIME DI 22X18 MM E DCC DI CIRCA 40 MM (LINFONODO IN PARTE COLLIQUATO? GETTONE SOLIDO?); LA LESIONE INFILTRA IL PIANO FASCIALE POSTERIORE, CON EVIDENZA DI SOFFUSIONE FLUIDA PRESACRALE.
PRESENZA DI NUMEROSI LINFONODI NEL TESSUTO ADIPOSO MESORETTALE E LUNGO I VASI EMORROIDARI SUPERIORI (I MAGGIORI CON ASSE CORTO DI 7 MM); ULTERIORI PICCOLI LINFONODI CON ASSE CORTO SUBCENTIMETRICO IN SEDE ILIACA ESTERNA BILATERALE.
CONSERVATO IL SETTO RETTOVAGINALE; ESITI DI ISTERECTOMIA. NON SEGNI DI INFILTRAZIONE DEI MUSCOLI ELEVATORI DELL'ANO ADIACENTI.
VESCICA URINARIA SCARSAMENTE REPLETA, APPARENTEMENTE ESENTE DA ISPESSIMENTI PARIETALI.
NON FALDE DI VERSAMENTO LIBERO NELLO SCAVO PELVICO.</t>
  </si>
  <si>
    <t xml:space="preserve">
L'ESAME DOCUMENTA ISPESSIMENTO PARIETALE A TRATTI CONCENTRICO - SUBSTENOSANTE - DEL RETTO ALTO/SIGMA (SPESSORE MASSIMO CIRCA 12 MM), A CIRCA 9 CM DA OAI CON ESTENSIONE CAUDO-CRANIALE DI ALMENO 6 CM, CARATTERIZZATO DA SEGNALE DEBOLMENTE IPERINTENSO E DISOMOGENEO NELLE SEQUENZE T2 DIPENDENTI, RESTRIZIONE DELLA DIFFUSIVITA PROTONICA E  MODICO CE. 
LA LESIONE INFILTRA LA PARETE A TUTTO SPESSORE, CON SOTTILI DIGITAZIONI NEL CELLULARE ADIPOSO PERIVISCERALE, E IL PERITONEO ANTERIORE, CON OBLITERAZIONE DEL SETTO RETTO-UTERINO E APPARENTE INFILTRAZIONE DEL LEGAMENTO LARGO DI DESTRA. 
IN SEDE ANNESSIALE DESTRA SI EVIDENZIA UNA FORMAZIONE DI TIPO FLUIDO-CISTICO DI 13 MM, DI VEROSIMILE SIGNIFICATO FUNZIONALE.
MULTIPLI LINFONODI AUMENTATI DI VOLUME SONO PRESENTI IN SEDE EMORROIDARIA SUPERIORE - OVE I MAGGIORI ROTONDEGGIANTI DEL DIAMETRO MASSIMO DI 9 MM - E NEL MESO-SIGMA-RETTO, SOSPETTI, ALTRI SUBCENTIMETRICI IN SEDE ILIACA COMUNE DESTRA E OTTURATORIA BILATERALE, ILIACA ESTERNA E INGUINALE BILATERALE.
VESCICA URINARIA SCARSAMENTE REPLETA, APPARENTEMENTE ESENTE DA ISPESSIMENTI PARIETALI. 
NON FALDE DI VERSAMENTO LIBERO NELLO SCAVO PELVICO.</t>
  </si>
  <si>
    <t>['iliaci_comuni', 'iliaci_esterni', 'inguinali']</t>
  </si>
  <si>
    <t>RM ADDOME INFERIORE (S/C MDC)
L'ESAME E STATO ESEGUITO MEDIANTE SEQUENZE FSE,DWI,DISCO DOPO MDC, PROHANCE.
L'ESAME E STATO OSTACOLATO DA ARTEFATTI DA PROTESI DELL'ANCA A DESTRA.
IN CORRISPONDENZA DEL RETTO ALTO SI SEGNALA FORMAZIONE AGGETTANTE CHE DA CIRCA 6 CM DALLO SFINTERE ANALE INTERNO SI ESTENDE CRANIALMENTE PER CIRCA 4 CM .
L'ISPESSIMENTO PARIETALE E CIRCONFERENZIALE E RETRAE IN UN PUNTO IL PERITONEO .
NEL MESORETTO E LUNGO I VASI EMORROIDARI SUPERIORI SONO PRESENTI LINFONODI CON ASSE CORTO FINO A 8 MM.
MINIMA FALDA FLUIDA IN PELVI.
UTERO IN ATROFIA POST-MENOPAUSALE. 
VARICI PELVICHE MAGGIORI A SINISTRA.
CONCLUSIONI STADIAZIONE RM T4A N2</t>
  </si>
  <si>
    <t>RM ADDOME INFERIORE (S/C MDC)
RM ADDOME SUPERIORE (S/C MDC)
L'ESAME E STATO EFFETTUATO MEDIANE SEQUENZE MORFOLOGICHE T2,T1, FUNZIONALI DWI E GRE DISCO PRIMA E DOPO MDC ( PROHANCE 0,2 ML/KG) .
IN CORRIPONDENZA DELLA PARETE POSTERO-LATERALE DX-ANTERIORE   DEL  PASSAGGIO RETTO MEDIO-ALTO DEL RETTO MEDIO-ALTO A CIRCA 6,4 CM DALLO SFINTERE ANALE INTERNO SI SEGNALA  ISPESSIMENTO PARIETALE AGGETTANTE  ETEROFORMATIVO,, PARZIALMENTE STENOSANTE, CHE OCCUPA, PROSSIMALMENTE 3/4 DELLA CIRCONFERENZA E CON DIFFUSIONE  LONGITUDINALE ,A SPIRALE, PER CIRCA 5 CM , FINO AD  ISPESSIRE, NEL SEGMENTO CRANIALE,  LA PARETE CONTROLATERALE SINISTRA .  
LA NEOPLASIA E MODERATAMENTE IEPERINTENSA IN T 2 E AMPIAMENTE SCONFINA, CON GROSSOLANO BULGING SOLIDO E FINI STRIE IPOINTENSE, NEL MESORETTO ANTERO-LATERALE  DX (H 9 /H11  S 4 IMG 18-19); UN'ALTRA ESENSIONE DELL'ISPESSIMENTO OLTRE LA SIEROSA LA SI OSSERVA  ALLE ORE 6 SOTENUTA DA  MOLTEPLICI, FINI TRALCI IPOINTENSI CHE SI RACCORDANO E RETRAGGONO LA FASCIA MESORETTALE
SI SEGNALANO MOLTEPLICI LINFONODI NEL MESORETTO H 4-5,  S 4 IMG 17 E 18 , H 7 S 4 IMG 13; UNO DI 8 MM H 5 DELL'ESTREMITA CRANIALE;   E 3 LINFONODI LUNGO I VASI EMORROIDARI 
PROSTATA INGRANDITA , DT 5,3 CM, CON PROMINENZA DEL TERZO LOBO CHE SOLLEVA IL PAVIMENTO VESCICALE.
DIFFUSO ISPESSIMENTO DELLE PARETI VESCICALI.
STADIAZIONE RMT3N2 MRF+</t>
  </si>
  <si>
    <t>RM ADDOME INFERIORE (S/C MDC)
STUDIO RM CONDOTTO MEDIANTE SEQUENZE FSE, DWI E FSPGR 3D-LAVA PRIMA E DOPO SOMMINISTRAZIONE EV DI MDC PARAMAGNETICO (PROHANCE 0.2 ML/KG), CON STUDIO DI PERFUSIONE.
SI DOCUMENTA ISPESSIMENTO PARIETALE VEGETANTE E STENOSANTE DEL RETTO MEDIO-ALTO (SPESSORE MAX 14 MM), CHE INTERESSA 3/4 DELLA CIRCONFERENZA DEL RETTO - CON EPICENTRO NELLA PARETE ANTERIORE -, ESTESO DA CIRCA 6.6 CM DA OAI CRANIALMENTE PER CIRCA 5 CM. LA FORMAZIONE PRESENTA ALCUNE AREE MODICAMENTE IPERINTENSE NELLE SEQUENZE T2 DIPENDENTI COME PER COMPONENTE MUCINOSA, ED E CARATTERIZZATA DA CE E MARCATA RIDUZIONE DELLA DIFFUSIVITA PROTONICA. DIGITAZIONE TUMORALE A PARTENZA DALLA PARETE LATERALE DELLA LESIONE SI EVIDENZIA NEL MESORETTO DI SINISTRA (IMG 4-21 E 7-16). 
MULTIPLI LINFONODI - ALMENO CINQUE - NEL MESORETTO, IL MAGGIORE CON ASSE CORTO DI 8 MM A SINISTRA (IMG 5-16), IN SEDE EMORROIDARIA SUPERIORE DESTRA E ILIACA INTERNA SINISTRA (ASSE CORTO 6.6 MM).
MINIMA FALDA DI VERSAMENTO LIBERO IN FID.</t>
  </si>
  <si>
    <t>RM ADDOME INFERIORE (S/C MDC)
STUDIO RM CONDOTTO MEDIANTE SEQUENZE FSE, DWI, FSPGR 3D-DISCO PRIMA E DOPO SOMMINISTRAZIONE EV DI MDC PARAMAGNETICO (PROHANCE 0.2 ML/KG), PREVIA DISTENSIONE DEL RETTO CON GEL E IPOTONIA FARMACOLOGICA (BUSCOPAN 1 FIALA I.M.).
SI EVIDENZIA ISPESSIMENTO PARIETALE CONCENTRICO A CARATTERE VEGETANTE E STENOSANTE DEL RETTO ALTO-PASSAGGIO RETTO-SIGMA - A CIRCA 9 CM DA OAI, DELLO SPESSORE MASSIMO DI 22 MM ED ESTENSIONE LONGITUDINALE DI 54 MM; LA LESIONE APPARE DISOMOGENEAMENTE IPERINTENSA NELLE SEQUENZE T2 DIPENDENTI, MOSTRA RESTRIZIONE DELLA DIFFUSIVITÃ€ PROTONICA E SPICCATO CE, CON ALCUNE SOTTILI DIGITAZIONI NEL CELLULARE ADIPOSO ANTERO-LATERALE DI SINISTRA E LATERALE DI DESTRA.
MULTIPLI LINFONODI SONO PRESENTI IN SEDE EMORROIDARIA SUPERIORE (DIAMETRO MAX 8 MM).
CONSERVATO IL CLIVAGGIO ADIPOSO CON L'UTERO. FALDA DI VERSAMENTO Ãˆ PRESENTE NELLO SCAVO PELVICO.</t>
  </si>
  <si>
    <t xml:space="preserve">e' gia' stato aggiunto </t>
  </si>
  <si>
    <t>RM ADDOME INFERIORE (S/C MDC)
ESAME ESEGUITO MEDIANTE SEQUENZE FRFSE SECONDO PIANI MULTIPLI, DWI E DISCO, PREVIA DISTENSIONE DEL RETTO CON GEL.
ISPESSIMENTO PARIETALE PATOLOGICO CON MORFOLOGIA INFILTRATIVA, SEGNALE DEBOLMENTE E DISOMOGENEAMENTE IPERINTENSO NELLE SEQUENZE T2W, CON SEGNI DI RESTRIZIONE DELLA DIFFUSIVITÃ€ PROTONICA AD EPICENTRO A LIVELLO DEL RETTO MEDIO, CON DISTRIBUZIONE CIRCONFERENZIALE ED ESTENSIONE CC PER CIRCA 5 CM CON LIMITE INFERIORE AL PASSAGGIO CON IL RETTO BASSO (DISTANZA DALLA GIUNZIONE ANO-RETTALE DI CIRCA 4.5 CM); COESISTONO SPICULATURE E DIGITAZIONI NODULARIFORMI NEL TESSUTO ADIPOSO MESORETTALE IN PARTICOLARE IN SEDE POSTERO-LATERALE DX (DA ORE 6 AD ORE 9) OVE ESSE SI APPROFONDANO NEL MESORETTO PORTANDOSI MOLTO PROSSIME ALLA FASCIA MESORETTALE (A CIRCA 1-2MM). 
SONO APPREZZABILI MULTIPLI LINFONODI CON ASSE CORTO MASSIMO DI 7 MM NEL TESSUTO ADIPOSO MESORETTALE (ANCHE ATTIGUI ALLA FASCIA MESORETTALE), CON CARATTERISTICHE MORFO-STRUTTURALI (MOROFLOGIA ROTONDEGGIANTE E PROFILI IRREGOLARI) DI FORTE SOSPETTO; COESISTONO ULTERIORI LINFONODI ANCH'ESSI CON ASPETTO PATOLOGICO LUNGO I VASI RETTALI SUPERIORI (ASSE CORTO MASSIMO DI 6MM) ED IN SEDE SACRALE LATERALE SN (5MM). 
SI SEGNALA INOLTRE A PRESENZA DI TESSUTO PATOLOGICO/DEPOSITO TUMORALE A MORFOLOGIA IRREGOLARE DELLA DIMENSIONI ASSIALI MASSIME DI 19X15MM CHE INGLOBA LE DIRAMAZIONI VASCOLARI RETTALI SUPERIORI.
LINFONODI DI POCHI MM ASPECIFICI ALLA BIFORCAZIONE ILIACA INTERNA-ESTERNA BILATERALMENTE ED IN SEDE IPOGASTRICA SN.
SOTTILE FALDA FLUIDA IN FIS.
IN VIA COLLATERALE:
IPERTROFIA ADENOMATOSA DELLA PORZIONE CENTRALE DELLA PROSTATA CON AGGETTO A LIVELLO DEL PAVIMENTO VESCICALE.</t>
  </si>
  <si>
    <t>IN CORRISPONDENZA DELLA PARETE LATERALE DESTRA DEL RETTO MEDIO, DA CIRCA 5 CM DALLO SFINTERE ANALE INTERNO CON ESTENSIONE CRANIALE PER CIRCA 
2,8 CM , CHE OCCUPA 2/4 DELLA CIRCONFERENZA DEL LUME E SCONFINA NEL MESORETTO IN UN PUNTO PER MENO DI 5 MM DI PROFONDITÃ€ .
NEL MESORETTO DI DESTRA, CONTIGUA ALLA NEOPLASIA SI SEGNALA UN LINFONODO CON ASSE CORTO DI CIRCA 8 MM.
PIU' CRANIALMENTE , LUNGO I VASI EMORROIDARI SUPERIORI Ãˆ PRESENTE UN ALTRO LINFONODO A LIMITI SFUMATI, SOSPETTO.
PICCOLI DIVERTICOLI NEL SIGMA.
PROSTATA AUMENTATA DI DIMENSIONI , DT CIRCA 5 CM, PER LA PRESENZA DI UNA FORMAZIONE ADENOMATODA CENTRALE.
DIFFUSO ISPESSIMENTO DELLE PARETI VESCICALI.
SONO PRESENTI ARTEFATTI DA PROTESI DI ANCA BILATERALE.
CONCLUSIONI: STADIAZIONE RM T3A N1"</t>
  </si>
  <si>
    <t>Arcioni Daniel</t>
  </si>
  <si>
    <t>linfonodi negativi?</t>
  </si>
  <si>
    <t>A LIVELLO DEL TERZO RETTALE SUPERIORE, A CIRCA 9 CM DALLA GIUNZIONE ANORETTALE, SI OSSERVA LA PRESENZA DI FORMAZIONE POLIPOIDE A LARGA BASE D'IMPIANTO DI CIRCA 22 MM DI SPESSORE SUL PIANO SAGITTALE, CON ESTENSIONE SEMI-CIRCONFERENZIALE DA ORE ""9"" A ORE ""12"" SUL PIANO TRASVERSO, E SVILUPPO LONGITUDINALE DI CIRCA 4 CM.
TALE FORMAZIONE A ORE ""10"", DIMOSTRA SVILUPPO OLTRE LA MUSCULARIS PROPRIA NEL TESSUTO ADIPOSO MESORETTALE, PER UN'ESTENSIONE DI 6 MM E ANTERIORMENTE SI PORTA IN PROSSIMITA DELLA FASCIA MESORETTALE CON DISTANZA DA QUEST'ULTIMA DI CIRCA 1-2 MM. LE SEQUENZE DWI DIMOSTRANO RESTRIZIONE ALLA DIFFUSIONE DELLA COMPONENTE INTRALUMINALE DELLA LESIONE.
IN ADIACENZA ALLA LESIONE IL TESSUTO ADIPOSO MESORETTALE PRESENTA ASPETTO DISOMOGENEAMENTE IPOINTENSO NELLE SEQUENZE T2 PESATE.
I VASI DEL TESSUTO ADIPOSO MESORETTALE APPAIONO ESENTI DA SEGNI DI INFILTRAZIONE PERILESIONALE.
DUE LINFONODI A MORFOLOGIA TONDEGGIANTE SI OSSERVANO NEL TESSUTO ADIPOSO MESORETTALE DELL'EMILATO DESTRO, RISPETTIVAMENTE A ORE ""10"" (DIAMETRO 7 X 6 MM) E A ORE ""7"" (6 X 6 MM).
NON EVIDENTI LINFOADENOMEGALIE EXTRA-REGIONALI.
ANNESSI DIMENSIONALMENTE NEI LIMITI, CON MULTIPLE FORMAZIONI FOLLICOLARI BILATERALI, DA NORMALIASPETTI FUNZIONALI.
NELLA NORMA L'UTERO, ANTIVERSO; PRESENZA DI DUE PICCOLE (3 E 2 MM) CISTI DA RITENZIONE DELLA CERVICE.
VESCICA DISTESA, A PARETI REGOLARI E CONTENUTO OMOGENEO.
NON VERSAMENTO ADDOMINO-PELVICO.
NON EVIDENTI ALTERAZIONI DI SEGNALE DEL MIDOLLO OSSEO.</t>
  </si>
  <si>
    <t>rischio</t>
  </si>
  <si>
    <t>RISULTATI: SI DOCUMENTA ISPESSIMENTO PARIETALE AD EPICENTRO A LIVELLO DEL RETTO MEDIO-SUPERIORE, CON ESTENSIONE LONGITUDINALE DI CIRCA 6 CM. LA LESIONE INTERESSA IL VISCERE PER ALMENO 3/4 DELLA SUA CIRCONFERENZA, CON EFFETTO STENOSANTE SUL LUME, PREVALENTEMENTE DA ORE 5 AD ORE 12; LA LESIONE MOSTRA SEGNALE DEBOLMENTE IPERINTENSO NELLE SEQUENZE T2 DIPENDENTI CON SEGNI DI RESTRIZIONE DELLA DIFFUSIVITA PROTONICA ED IMPREGNAZIONE DI CONTRASTO DOPO MDC. LA PARETE NEL TERZO INFERIORE APPARE INFILTRATA A TUTTO SPESSORE, CON SOTTILI SPICULATURE NEL TESSUTO ADIPOSO MESORETTALE PIU EVIDENTI DA ORE 6 AD ORE 9. 
SI ASSOCIANO NUMEROSI LINFONODI (IN NUMERO SUPERIORE A 3) CON ASSE CORTO MASSIMO SINO A 5 MM NEL MESORETTO E PLURIMI LINFONODI CON ASSE CORTO DI CIRCA 5MM LUNGO I VASI EMORROIDARI SUPERIORI. LINFONODO CON ASSE CORTO DI CRCA 4MM IN SEDE IPOGASTRICA A DX.
LINFONODI CON ASSE CORTO SUBCENTIMETRICO ASPECIFICI IN SEDE OTTURATORIA ED ILIACA ESTENA BILATERALMENTE. 
VESCICA URINARIA SCARSAMENTE REPLETA, ESENTE DA GROSSOLANE ALTERAZIONI. 
NON VERSAMENTO LIBERO IN PELVI.
PROSTATA DI DIMENSIONI AUMENTATE (DT 48 MM) CON IPERTROFIA ADENOMATOSA DELLA PORZIONE CENTRALE.
DIVERTICOLOSI DEL SIGMA.</t>
  </si>
  <si>
    <t>['mesorettali', 'otturatori', 'iliaci_interni']</t>
  </si>
  <si>
    <t>&gt; o &lt; 5 mm?</t>
  </si>
  <si>
    <t>IN CORRISPONDENZA DEL RETTO MEDIO-ALTO, A CIRCA 8 CM DALLO SFINTERE ANALE INTERNO CON ESTENSIONE CRANIALE PER CIRCA 4 CM,  E PRESENTE ISPESSIMENTO PARIETALE CHE INTERESSA CIRCONFERENZIALMENTE IL VISCERE ED  INVIA DIGITAZIONI NEL MESORETTO POSTERIORE .
LINFONODI SOSPETTI  IN NUMERO SUPERIORE A TRE LUNGO I VASI EMORROIDARI SUPERIORI IL MAGGIORE DI CIRCA 1 CM.
ESITI DI PREGRESSO INTERVENTO DI ISTERECTOMIA.
LINFONODI ASPECIFICI IN SEDE INGUINALE BILATERALE.
CONCLUSIONI: STADIAZIONE LOCALE RM T3N2"</t>
  </si>
  <si>
    <t>SI SEGNALA ISPESSIMENTO PARIETALE  DEL RETTO BASSO, CON EPICENTRO IN CORRISPONDENZA DELLA PARETE ANTERIORE E LATERALE SINISTRA, CHE OCCUPA I 3/4 DELLA CIRCONFERENZA DEL VISCERE E SI ESTENDE DA CIRCA 2 CM DALLO SFINTERE ANALE INTERNO CRANIALMENTE PER CIRCA 5 CM.   LA NEOPLASIA MODERATEMENTE IPERINTENSA NELLE SEQUENZE T2 DIPENDENTI INVIA DIGITAZIONI NEL MESORETTO ANTERIORE ALCUNE DELLE QUALI RAGGIUNGONO LA FASCIA PERIRETTALE. 
SONO PRESENTI LINFONODI NEL MESORETTO E LUNGO I VASI EMORROIDARI SUPERIORI IN NUMERO SUPERIORE A TRE  IL MAGGIORE DEI QUALI DEL DIAMETRO DI CIRCA 1 CM, DUE DEI QUALI ADESI ALLA FACIA PERIRETTALE.   
UTERO DI DIMENSIONI AUMENTATE  PER LA PRESENZA DI NUMEROSI NODI MIOMATOSI DI TIPO INTRAMURALE E SOTTOSIEROSO CHE DEFORMANO I PROFILI UTERINI , IL MAGGIORE DEI QUALI DEL DIAMETRO MASSIMO DI 47 MM.   
NUMEROSI DIVERTICOLI IN CORRISPONDENZA DEL SIGMA-COLON DISCENDENTE. 
CONCLUSIONI: STADIAZIONE RM T3MRF+  N2   
"</t>
  </si>
  <si>
    <t>IN CORRISPONDENZA DEL RETTO MEDIO-ALTO , DA CIRCA 4,6 CM DALLO SFINTERE ANALE INTERNO CON ESTENSIONE CRANIALE PER CIRCA 4,4 CM , SI SEGNALA ISPESSIMENTO PARIETALE CONCENTRICO, STENOSANTE, CON DIGITAZIONI POLIPOIDI NEL MESORETTO CHE SEGUONO I VASI EMORROIDARI ED INFITRANO IL PERITONEO E PIU' CAUDALMENTE RAGGIUNGONO LE VESCICIOLE SEMINALI 
UN LINFONODO SOSPETTO LUNGO I VASI EMORROIDARI SUPERIORI E LINFONODI SOSPETTI LUNGO I VASI ILIACI INTERNI BILATERALMENTE , I MAGGIORI DEI QUALI DI CIRCA 8 MM.
PROSTATA AUMENTATA DI DIMENSIONI , DT CIRCA 5 CM, CON FORMAZIONE ADENOMATOSA CENTRALE CHE SOLLEVA IL PAVIMENTO VESCICALE.
AL MOMENTO DELL'ESAME LA VESCICA E IPERDISTESA.
DIFFUSO ISPESSIMENTO DELLE PARETI VESCICALI.
CONCLUSIONI: STADIAZIONE RM T4BN2 EXTRAMESORETTALE EMVI"</t>
  </si>
  <si>
    <t>{'altro': 'vescichette seminali'}</t>
  </si>
  <si>
    <t>['rettali_superiori', 'iliaci_interni']</t>
  </si>
  <si>
    <t xml:space="preserve">non si puÃ² mettere sia sigma-retto che retto medio-alto. </t>
  </si>
  <si>
    <t>IN CORRISPONDENZA DEL RETTO MEDIO-ALTO FINO AL SIGMA DISTALE , DA CIRCA 8CM DALL' ORIFICIO ANALE INTERNO, CON ESTENSIONE CRANIALE PER CIRCA 5CM, SI SEGNALA ISPESSIMENTO PARIETALE A MARGINI IRREGOLARI (SPESSORE MASSIMO 2,2CM) CHE OCCUPA 2/3 DELLA CIRCONFERENZA DEL LUME, CON EPICENTRO IN CORRIPONDENZA DELLA PARETE POSTERO-LATERALE DESTRA, DOVE INVIA UN GROSSOLANO GETTONE NEOPLASTICO CON COMPONENTE MUCINOSA; IL PROCESSO SI ESTENDE A TUTTO SPESSORE NEL MESORETTO FINO ALLA FASCIA PERIRETTALE (H8) INFILTRATA E RETRATTA.
NUMEROSI LINFONODI INGRANDITI SIA NEL MESORETTO (IN NUMERO FINO A 10, MAX ASSE CORTO DI CIRCA 6MM ALLE ORE 9) CHE EXTRAMESORETTALE NELLA STAZIONE EMORROIDARIA SUPERIORE.
NELL'UTERO IN POSIZIONE ERETTA CON FIBROMA DI CIRCA 20MM IN CORRISPONDENZA DELLA PARETE POSTERIORE DEL FONDO UTERINO, SI SEGNALA NODULO TENUEMENTE IPERINTENSO NEL LABBRO LATERALE DESTRO DELLA CERVICE (SERIE 4 IMA 15; SERIE 5 IMA 22; SERIE 7 IMA 17; SERIE 9 IMA 1), INFILTRATO A TUTTO SPESSORE (FOCALMENTE NON PIÃ™ APPREZZABILE L'ANELLO STROMALE), CHE PRESENTA RESTRIZIONE AD ALTI LIVELLI DI B (SERIE 8 IMA 101; SERIE 850 IMA 101), CON EARLY ENHANCEMENT IN FASE PRECOSE NELLO STUDIO PERFUSIONALE: TALI CARATTERISTICHE SONO SUGGESTIVE PER SECONDO TUMORE DELLA CERVICE IN STADIO INIZIALE PERTANTO MERITEVOLE DI VISITA GINECOLOGICA IN NARCOSI E CARATTERIZZAZIONE BIOPTICA.
CONCLUSIONI: NEOPLASIA DEL SIGMA-RETTO MEDIO-ALTO CON COMPONENTE MUCINOSA STADIAZIONE RM T3 N2 ;   NEOPLASIA SINSCRONA DEL LABBRO LATERALE DX DELLA CERVIX"</t>
  </si>
  <si>
    <t>IN CORRISPONDENZA DEL RETTO MEDIO-ALTO , DA CIRCA 4 CM DALLO SFINTERE ANALE INTERNO CON ESTENSIONE CRANIALE PER CIRCA 5 CM SI SEGNALA ISPESSIMENTO PARIETALE CHE OCCUPA 3/4 DELLA CIRCONFERENZA DEL LUME IN CONTINUITÃ€ CON UN GETTONE A PREVALENTE SVILUPPO EXTRAPARIETALE, INDISSOCIABILE DALLA VESCICOLA SEMINALE DI SINISTRA, CHE RAGGIUNGE LA PARETE POSTERIORE DELLA CUPOLA VESCICALE MA SENZA SEGNI DI INFILTRAZIONE.
IL GETTONE A PREVALENTE SVILUPPO EXTRAPARIETALE RAGGIUNGE E RETRAE LA FASCIA PERIRETTALE IN SEDE LATERALE A SINISTRA, IL PERITONEO ANTERIORMENTE ED INGLOBA I VASI EMORROIDARI.
LINFONODI SOSPETTI SONO PRESENTI NEL MESORETTO DI DESTRA E LUNGO I VASI EMORROIDARI SUPERIORI  IN NUMERO SUPERIORE A TRE , CON ASSE CORTO DI CIRCA 5 MM, UNO DEI QUALI ADESO ALLA FASCIA PERIRETTALE.
DIFFUSO ISPESSIMENTO DELLE PARETI VESCICALI.
PROSTATA AUMENTATA DI DIMENSIONI ( DT CIRCA 4,8 CM ) PER UNA FORMAZIONE ADENOMATOSA CENTRALE.
CONCLUSIONI: STADIAZIONE RM T4N2  EMVI"</t>
  </si>
  <si>
    <t>{'altro': 'vescichetta seminale, sospetta della vescica. '}</t>
  </si>
  <si>
    <t>A 6 CM DALL' ORIFICIO ANALE INTERNO SI OSSERVA ISPESSIMENTO ASIMMETRICO ED IRREGOLARE DELLA PARETE ANTERO-LATERALE SINISTRA DEL RETTO MEDIO, AGGETTANTE NEL LUME E ULCERATO CENTRALMENTE.IL PROCESSO PROLIFERATIVO SI ESTENDE LONGITUDINALMENTE PER 3,2 CM, INTERESSA LA PARETE A TUTTO SPESSOERE, SCONFINA SUL VERSANTE EXTRALUMINALE  NEL CELLULARE ADIPOSO DEL MESORETTO, E IN CORRISPONDENZA DELLE ORE 3 , DA ESSO TRALCI IPOINTENSI, CON UN LINFONODO NEL CONTESTO, SI ESTENDONO FINO A RACCORDARSI CON LA FASCIA MESORETTALE FOCALMENTE ISPESSITA E RETRATTA COME SI OSSERVA ANCHE NELLA PERFUSIONE .SONO PRESENTI MINUTI LINFONODI NEL MESORETTO IN NUMERO SUPERIORE A TRE ; UN PICCOLO LINFONODO A SINISTRA E OSSERVABILE SUL VERSANTE ESTERNO DELLA FASCIA MESORETTALE ED UN'ALTRO LINFONODO INGRANDITO E TONDEGGIANTE DI 7  MM NELLA STAZIONE OTTURATORIA INTERNA DI SIN . 
SI SEGNALANO DUE FLEBOLITI CALCIFICI , MARCATAMENTE IPOINTENSI NELLE SEQUENZE T2 ,  RETOPROSTATICI  BILATERALMENTE. 
CONCLUSIONI: STADIAZIONE RM: T3 (CON SOSPETTO INTERESSAMENTO DELLA FASCIA MESORETTALE) N+
"</t>
  </si>
  <si>
    <t>ESTESO ISPESSIMENTO PROLIFERATIVO PARIETALE DEL RETTO MEDIO ED ALTO , CIRCONFERENZIALE E STENOSANTE , CHE DA CIRCA 7 CM DALL'ORIFICIO ANALE INTERNO SI ESTENDE LONGITUDINALMENTE PER  CIRCA 6 CM , CHE SCONFINA  NEL MESORETTO PER UNA DISTANZA &gt; 5 MM ; A LIVELLO DEL RETTO ALTO  IL PROCESSO PROLIFERATIVO ANTERIORMENTE PRENDE RAPPORTO, ISPESSISCE E RETRAE IL PERITONEO CHE DELIMITA LO SPAZIO RETTO VESCICALE DISTESO DA COSPICUA FALDA DI ASCITE.
SONO PRESENTI LINFONODI IN NUMERO SUPERIORE A TRE NEL MESORETTO, ALTRI LINFONODI SOSPETTI PER LOCALIZZAZIONE DI MALATTIA LUNGO I VASI EMORROIDARI SUPERIORI .
CONCLUSIONE : STADIO RM DELLA NEOPALSIA RETTALE T4A N+; UTILE VALUTAZIONE IN INTEGRAZIONE CON ESAME TC TOTALE BODY NON PORTATO IN VISONE IN FASE DI REFERTAZIONE PER ECLUDERE DIFFUSIONE A DITANZA DELLA MALATTIA 
ANNOTAZIONI CLINICO-RADIOLOGICHE:"</t>
  </si>
  <si>
    <t xml:space="preserve">linfonodi nelle conclusioni considerati sospetti, nelle caratteristiche non lo sarebbero. </t>
  </si>
  <si>
    <t>IN CORRISPONDENZA DEL RETTO MEDIO- ALTO , DA CIRCA 6 CM DALLO SFINTERE ANALE INTERNO CON ESTENSIONE CRANIALE PER CIRCA 4,4 CM,  E PRESENTE ISPESSIMENTO PARIETALE CHE OCCUPA 3/4 DELLA CIRCONFERENZA DEL LUME  ED IN UN PUNTO RETRAE IL PERITONEO.
NEL MESORETTO E LUNGO I VASI EMORROIDARI SUPERIORI  SONO PRESENTI LINFONODI IN NUMERO SUPERIORE A TRE  IL MAGGIORE DEI QUALI DI CIRCA 7 MM, UNO DEI QUALI NEL MESORETTO POSTERIORE E ADESO ALLA FASCIA PERIRETTALE. 
PROSTATA AUMENTATA DI DIMENSIONI (DIAMETRO TRASVERSO CIRCA 5,3 CM )  PER FORMAZIONE ADENOMATOSA CENTRALE CHE SOLLEVA IL PAVIMENTO VESCICALE 
IN CORRISPONDENZA DEI SEGMENTI INFERIORI DEL FEGATO DESTRO, A CAVALLO TRA V E VI SEGMENTO EPATICO A RIDOSSO DEL RAMO PORTALE SEGMENTARIO PER IL V ,  E PRESENTE UN'AREA DI MORFOLOGIA ALLUNGATA, IPOVASCOLARE DOPO MDC , IPOINTENSA NELLA FASE DI ESCREZIONE EPATO-BILIARE DEL CONTRASTO,  DEL DIAMETRO DI CIRCA 1 CM, NON BEN RICONOSCIBILE NELLE SEQUENZE DI BASE E NELLE SEQUENZE IN DIFFUSIONE E PER TALE MOTIVO DI VEROSIMILE NATURA BENIGNA , UTILE TUTTAVIA VERIFICA NEL TEMPO.
IN CORRISPONDENZA DEL IV E  V SEGMENTO EPATICO SONO PRESENTI DUE PICCOLE IMMAGINI NETTAMENTE IPERINTENSE NELLE SEQUENZE T2-DIPENDENTI , SENZA ENHANCEMENT DOPO MDC , DA RIFERIRE A CISTI , LA MAGGIORE DELLE QUALI IN CORRISPONDENZA DEL V SEGMENTO EPATICO DEL DIAMETRO DI CIRCA 8 MM. 
NORMALE IL CALIBRO DELLE VIE BILIARI.
COLECISTI POCO DISTESA CON PARETI LIEVEMENTE E DIFFUSAMENTE ISPESSITE.
MILZA NEI LIMITI.
NON AREE FOCALI O DIFFUSE DI ALTERATA INTENSITA DI SEGNALE DEL PARENCHIMA PANCREATICO.
 ASPETTO GLOBOSO DEI SURRENI.
 RENI NEI LIMITI , CISTI RENALI BILATERALI .
LIEVE ECTASIA DELL'AORTA SOTTORENALE CON PICCOLE APPOSIZIONI TROMBOTICHE PARIETALI SUL VERSANTE LATERALE SN.
CONCLUSIONI: STADIAZIONE RM T4AN2 LA LESIONE EPATICA E DI VEROSIMILE NATURA BENIGNA MA MERITA CONTROLLO NEL TEMPO."</t>
  </si>
  <si>
    <t xml:space="preserve">linf negativi, &lt; o &gt; 5 mm?
</t>
  </si>
  <si>
    <t>A CIRCA 5 CM DALL'OAI SI APPREZZA ISPESSIMENTO PARIETALE DEL RETTO, DI ASPETTO VEGETANTE/ULCERATIVO, CHE INTERESSA I 3/4 DELLA CIRCONFERENZA DEL VISCERE, CON ESTENSIONE CAUDO-CRANIALE DI CIRCA 5 CM. 
LA LESIONE APPARE TENUEMENTE IPERINTENSA NELLE SEQUENZE T2 PESATE, CON RESTRIZIONE DELLA DIFFUSIONE PROTONICA NELLE DWI E CE DOPO MDC.
LA PARETE RETTALE APPARE INTERESSATA A TUTTO SPESSORE E MOSTRA INTERRUZIONE DELL'IPOINTENSITÃ€ PARIETALE SUL VERSANTE ANTERO-LATERALE SINISTRO COME PER ESTENSIONE EXTRAVISCERALE.
ALMENO 6 LINFONODI SONO PRESENTI NEL MESORETTO, DEL DIAMETRO MASSIMO DI 5 MM.
LUNGO L'A MESENTERICA INFERIORE SI OSSERVANO ALMENO 5 LINFONODI DI DIAMETRO MASSIMO INFERIORE A 5 MM.
LINFONODI CON ASSE CORTO INFERIORE A 1 CM, CON ILO ADIPOSO CONSERVATO, DI SIGNIFICATO REATTIVO SONO PRESENTI LUNGO GLI ASSI ILIACI ESTERNI E COMUNI
MINIMA FALDA FLUIDA IN SEDE PELVICA.</t>
  </si>
  <si>
    <t>linfonodi dovrebbero essere negativi. &gt; o &lt; 5 mm?</t>
  </si>
  <si>
    <t>SI DOCUMENTA LA PRESENZA DI TESSUTO SOLIDO CON CARATTERISTICHE ESPANSIVE-INFILTRATIVE TENUEMENTE IPERINTENSO NELLE IMMAGINI T1- E T2-DIPENDENTI, CON RESTRIZIONE DEL COEFFICIENTE DI DIFFUSIONE, DEL RETTO MEDIO-ALTO, DA RIFERIRE A ETEROPLASIA PRIMITIVA. ESSO SI ESTENDE IN SENSO C-C PER 44 MM FINO A 47 MM DAL MARGINE ANALE ESTERNO, E SI SVILUPPA NEL LUME RETTALE CON ASSI TRASVERSI DI 31X22 MM E BASE DI IMPIANTO DA ORE 1 A ORE 8, INFILTRANDO A TALE LIVELLO TUTTI GLI STRATI DELLA PARETE RETTALE. DA QUESTA SI DIPARTONO SPICULE IPOINTENSE CHE SI CONTINUANO NEL TESSUTO ADIPOSO PERIRETTALE ADIACENTE, COME PER INIZIALI SEGNI DI INFILTRAZIONE. NEL TESSUTO ADIPOSO PERIRETTALE BILATERALMENTE SONO PRESENTI MULTIPLI LINFONODI ROTONDEGGIANTI, IL MAGGIORE CON ASSI TRASVERSI DI 5X3 MM A SINISTRA.
INTEGRA LA FASCIA MESORETTALE.
SUBCENTIMETRICI LINFONODI SONO PRESENTI ANCHE IN SEDE OTTURATORIA ED ILIACA ESTERNA BILATERALMENTE.
L'UTERO APPARE ANTIVERSO - FLESSO, DI DIMENSIONI REGOLARI; NEI LIMITI LO SPESSORE DELL'ENDOMETRIO.
NON SI DOCUMENTANO SOLUZIONI DI CONTINUO DELLA LINEA DI GIUNZIONE ENDOMETRIO - MIOMETRIO. 
NELLA NORMA LO SPESSORE E L'INTENSITA DI SEGNALE DELLE PARETI DELLA VAGINA E DEI FORNICI VAGINALI.
NON SI APPREZZANO FORMAZIONI ESPANSIVE IN SEDE ANNESSIALE, BILATERALMENTE. 
LA VESCICA E POCO DISTESA, ESENTE DA APPREZZABILI ALTERAZIONI PARIETALI O ENDOLUMINALI.
NON VERSAMENTO FLUIDO NEL CAVO DI DOUGLAS."</t>
  </si>
  <si>
    <t>SI SEGNALA ISPESSIMENTO CONCENTRICO DEL RETTO MEDIO CHE SI ESTENDE DA CIRCA 4 CM DALLO SFINTERE ANALE INTERNO CRANIALMENTE PER CIRCA 7 CM. L'ISPESSIMENTO PARIETALE INVADE IL MESORETTO ANTERIORE , RAGGIUNGE LA FASCIA PERIRETTALE CHE RETRAE ED OLTREPASSA A SINISTRA , RAGGIUNGE LA VESCICOLA SEMINALE DI SINISTRA , IN UN PUNTO RETRAE IL PERITONEO, SI AVVICINA MA CON CLIVAGGIO MANTENUTO AI VASI ILIACI INTERNI DI SINISTRA ; POSTERIORMENTE E PRESENTE UN GETTONE DEL DIAMETRO DI CIRCA 2,5 CM CHE SEGUE I VASI EMORROIDARI SUPERIORI.    
SONO PRESENTI LINFONODI NEL MESORETTO IN NUMERO SUPERIORE A TRE , IL MAGGIORE DEI QUALI DEL DIAMETRO DI CIRCA UN CENTIMETRO.  
PROSTATA AUMENTATA DI DIMENSIONI ( DIAMETRO TRASVERSO CIRCA 5,7 CM ) PER LA PRESENZA DI UNA FORMAZIONE ADENOMATOSA CENTRALE. 
DIFFUSO ISPESSIMENTO DELLE PARETI DELLA VESCICA COME PER VESCICA DA SFORZO. 
CONCLUSIONI:  STADIAZIONE RM T4 N2 
"</t>
  </si>
  <si>
    <t>{'altro': 'vescichetta seminale'}</t>
  </si>
  <si>
    <t>SI VISUALIZZA GROSSOLANA FORMAZIONE A MORFOLOGIA POLIPOIDE AGGETTANTE NEL LUME DEL RETTO - DEBOLMENTE INTENSA NELLE SEQUENZE T2 DIPENDENTI, CON SEGNI DI RESTRIZIONE DELLA DIFFUSIVITÃ€ PROTONICA E SPICCATO CE -, CON BASE D'IMPIANTO LUNGO LA PARETE ANTERIORE DESTRA A CIRCA 4 CM DA OAI, DELLE DIMENSIONI DI 38 MM DT X 30 MM DAP X 20 MM DCC; LA PARETE D'IMPIANTO APPARE INFILTRATA E RETRATTA, CON PICCOLI GETTONI NEL MESORETTO ANTERIORE DESTRO.
MULTIPLI LINFONODI SONO PRESENTI NEL MESORETTO BILATERALMENTE E IN SEDE EMORROIDARIA SUPERIORE (DIAMETRO MASSIMO 6 MM). LINFONODI ASPECIFICI IN SEDE INGUINALE BILATERALE.
CONSERVATO IL CLIVAGGIO ADIPOSO CON L'UTERO E LA VAGINA. MINIMA FALDA FLUIDA NEL DOUGLAS.</t>
  </si>
  <si>
    <t>A LIVELLO DELLA GIUNZIONE ANO-RETTALE, A CIRCA 20 MM DAL MARGINE ANALE ESTERNO, SI DOCUMENTA IRREGOLARE ISPESSIMENTO DELLE PARETI DEL CANALE ANALE E DEL RETTO BASSO, CON SPESSORE MASSIMO DI 7 MM, INTERESSAMENTO SEMICIRCONFERENZIALE DA ORE 12 AD ORE 6 ED ESTENSIONE LONGITUDINALE DI CIRCA 55 MM, CARATTERIZZATO DA DISOMOGENEA IPERINTENSITÃ€ NELLE SEQUENZE T2-DIPENDENTI, RESTRIZIONE DELLA DIFFUSIONE IN PARTICOLARE SUL VERSANTE MUCOSO E PRECOCE IMPREGNAZIONE POST-CONTRASTOGRAFICA. TALE ISPESSIMENTO RAGGIUNGE UN IL TRATTO PROSSIMALE DELLO SFINTERE ANALE INTERNO. 
A LIVELLO ANALE IN SEDE MEDIO-DISTALE SI DOCUMENTA TENUE IPERINTENSITÃ€ DI SEGNALE DEL VERSANTE LATERALE SINISTRO DELLO SFINTERE ANALE INTERNO, PRIVO DI CHIARO CORRISPETTIVO ALLO STUDIO IN DIFFUSIONE E NELLE IMMAGINI POST CONTRASTOGRAFICHE, CON MINIMA FOCALE OBLITERAZIONE DELLO SPAZIO ADIPOSO INTERSFINTERICO (IMA 4-30): ALTERAZIONI REATTIVE?
A LIVELLO RETTALE NON SI DOCUMENTANO MACROSCOPICI SEGNI DI ESTENSIONE EXTRA PARIETALE.  
ALCUNI LINFONODI DI DIMENSIONI AI LIMITI SUPERIORI DELLA NORMA E MORFOLOGIA GLOBOSA (&lt; 6) SI OSSERVANO IN SEDE MESORETTALE E LUNGO I VASI EMORROIDARI, IL MAGGIORE A SINISTRA CON ASSE CORTO DI 7 MM (IMA 4-14). LINFONODO A MORFOLOGIA GLOBOSA CON ASSE CORTO DI 5 MM SI OSSERVA IN SEDE INGUINALE SINISTRA. ULTERIORI PICCOLI LINFONODI CON ASSE CORTO SUBCENTIMETRICO SI APPREZZANO IN SEDE OTTURATORIA INTERNA SINISTRA ED ILIACA ESTERNA BILATERALE.
NEI LIMITI LA VESCICA. 
NON VERSAMENTO LIBERO IN PELVI.</t>
  </si>
  <si>
    <t>T1-2</t>
  </si>
  <si>
    <t>IN CORRISPONDENZA DEL RETTO MEDIO-BASSO, A CIRCA 3 CM DA OAI, SI EVIDENZIA ISPESSIMENTO PARIETALE A MARGINI LOBULATI, CHE INTERESSA I 2/3 DELLA CIRCONFERENZA DEL RETTO CON EPICENTRO LUNGO LA PARETE LATERALE SINISTRA ED ESTENSIONE CRANIO-CAUDALE DI CIRCA 3.5 CM; LA LESIONE PRESENTA MARGINI IRREGOLARI, CON SOTTILI STRIE NEL MESORETTO DI SINISTRA E ASSENZA DI CLIVAGGIO ADIPOSO CON IL MUSCOLO ELEVATORE DELL'ANO. MULTIPLI LINFONODI LOCOREGIONALI SONO VISIBILI NEL MESORETTO (ALMENO 8) E UN LINFONODO DI 7 MM SI APPREZZA IN SEDE OTTURATORIA SINISTRA; LINFONODI SUBCENTIMETRICI DI SIGNIFICATO ASPECIFICO IN SEDE INGUINALE BILATERALMENTE. NON FALDE DI VERSAMENTO LIBERO NELLO SCAVO PELVICO."</t>
  </si>
  <si>
    <t>se metto sospetto muscolo elevatore diventa T4b. Linfonodi messi solo per le conclusioni</t>
  </si>
  <si>
    <t xml:space="preserve"> IN CORRISPODENZA DELLA PARETE POSTERIORE DEL RETTO BASSO , DALLO  SFINTERE ANALE INTERNO , SI SEGNALA FORMAZIONE AGGETTANTE "" A PLACCA ULCERATA "" CHE SI ESTENDE CRANIALMENTE PER CIRCA 3,4 CM , ED OCCUPA 1/4 DELLE CIRCONFERENZA DEL LUME CON EPICENTRO DALLE ORE 6 ALLE ORE 9 .
LA LESIONE INTERESSA LA PARETE A TUTTO SPESSORE ED IN UN PUNTO , ALLE ORE 7, E CONTIGUO AL MUSCOLO ELEVATORE DELL'ANO MA SENZA SICURI SEGNI DI INFILTRAZIONE 
NEL MESORETTO POSTERIORE SONO PRESENTI TRE LINFONODI CON ASSE CORTO DI CIRCA 5 MM , A LIMITI SFUMATI. 
ESITI DI PREGRESSO INTERVENTO DI ISTERECTOMIA. 
CONCLUSIONI: STADIAZIONE RM T3 N1"</t>
  </si>
  <si>
    <t>lesione ossea?</t>
  </si>
  <si>
    <t>SI SEGNALA LA PRESENZA IN CORRISPONDENZA DELLA PARETE POSTERO-LATERALE SN DEL RETTO BASSO,  A CIRCA 5 CM DALLO SFINTERE ANALE INTERNO CON ESTENSIONE CRANIALE PER CIRCA 18 MM, DI UNA  FORMAZIONE AGGETTANTE CHE OCCUPA 2/4 DELLA CIRCONFERENZA DEL LUME ED INVIA DIGITAZIONE NEL MESORETTO POSTERIORE.
NEL MESORETTO DI SN SONO PRESENTI DUE DEPOSITI TUMORALI DI CIRCA 4 E 6 MM, IL MAGGIORE INGLOBA UN VASO EMORROIDARIO.
NEL MESORETTO POSTERIORE E LUNGO I VASI EMORROIDARI SONO PRESENTI TRE LINFONODI SOSPETTI.
MINIMA FALDA FLUIDA IN PELVI.
DIFFUSO ISPESSIMENTO DELLE PARETI VESCICALI. 
DT DELLA PROSTATA DI CIRCA 4 CM.
NELL'ILEO DI DESTRA, IN PROSSIMITÃ€ DEL TRATTO CRANIALE DELL'ARTICOLAZIONE SACRO-ILIACA ADIACIENTE, Ãˆ PRESENTE UN'AREA DI EDEMA SPONGIOSO CON TENUE ED ABNORME ENHANCEMENT POST-CONTRASTO SENZA ALCUN COINVOLGIMENTO CORTICALE; IL REPERTO NECESSITA CONTROLLO A BREVE DISTANZA DI TEMPO .
CONCLUSIONI: STADIAZIONE RM T3NC EMVI"</t>
  </si>
  <si>
    <t>poche info</t>
  </si>
  <si>
    <t>IN CORRISPONDENZA DELLA PARETE ANTERIORE DEL RETTO MEDIO-ALTO, DA CIRCA 7 CM DALLO SFINTERE ANALE INTERNO CON ESTENSIONE CRANIALE PER CIRCA 2 CM, SI DOCUMENTA ISPESSIMENTO PARIETALE CONFINATO ALLA PARETE (SPESSORE MASSIMO 13 MM), CHE OCCUPA DUE QUARTI DELLA CIRCONFERENZA DEL LUME, MODERATAMENTE IPERINTENSO NELLE SEQUENZE T2-DIPENDENTI ED IPERINTENSO NELLE SEQUENZE DWI, CHE MOSTRA INTENSA IMPREGNAZIONE CONSTRASTOGRAFICA NELLE SEQUENZE DI PERFUSIONE. 
DUE LINFONODI CON ASSE CORTO &lt;5 MM IN SEDE MESORETTALE POSTERIORE, ASPECIFICI. NON EVIDENTI LINFOADENOPATIE IN SEDE PELVICA. 
PICCOLE CISTI DI TARLOV A LIVELLO DI S2."</t>
  </si>
  <si>
    <t>IN CORRISPONDENZA DEL RETTO MEDIO ALTO, A CIRCA 6 CM DALLO SFINTERE ANALE INTERNO, CON ESTENSIONE CRANIALE PER CIRCA 6 CM, SI SEGNALA FORMAZIONE AGGETTANTE CHE OCCUPA 3/4 DELLA CIRCONFERENZA DEL LUME CON EPICENTRO IN CORRISPONDENZA DELLA PARETE POSTERIORE CHE INVIA DIGITAZIONI NEL MESORETTO.    
IN CORRISPONDENZA DELLA PARETE LATERALE SN DEL RETTO BASSO, APPARENTEMENTE SEPARATI DALLA LESIONE PRINCIPALE, SONO PRESENTI DUE FORMAZIONI AGGETTANTI A PREVALENTE SVILUPPO ENDOLUMINALE DEL DIAMETRO RISPETTIVAMENTE DI CIRCA 7 E 15 MM.    
NEL MESORETTO, LUNGO I VASI EMORROIDARI SUPERIORI, IN SEDE OTTURATORIA-ILIACA ESTERNA BILATERALMENTE SONO PRESENTI LINFOADENOMEGALIE IN NUMERO SUPERIORE A 3. IN PARTICOLARE I LINFONODI  NEL MESORETTO, LUNGO I VASI EMORROIDARI SUPERIORI ED IN SEDE OTTURATORIA BILATERALE SONO DEL DIAMETRO MEDIO DI CIRCA 1 CM, DISOMOGENEI, SOSPETTI PER LOCALIZZAZIONE DI MALATTIA, IN PARTICOLARE, UN LINFONODO SOSPETTO E ADESO ALLA FASCIA PERIRETTALE.    
I LINFONODI IN SEDE ILIACA ESTERNA BILATERALMENTE SONO DI MORFOLOGIA OVALARE,DI NATURA ASPECIFICA.    
CONCLUSIONI STADIAZIONE RM T3N2  NMRF+    
"</t>
  </si>
  <si>
    <t xml:space="preserve">IN CORRISPONDENZA DEL RETTO MEDIO-ALTO, DA CIRCA 5 CM DALLO SFINTERE ANALE INTERNO CON ESTENSIONE CRANIALE DI CIRCA 4 CM E PRESENTE FORMAZIONE AGGETTANTE CHE OCCUPA 3/4 DELLA CIRCONFERENZA DEL LUME ,INVADE CON GETTONI POLIPOIDI IL MESORETTO , UNO DEI QUALI CON COMPONENTE MUCINOSA ED IN UN PUNTO RETRAE IL PERITONEO.   
LINFONODI SOSPETTI NEL MESORETTO E LUNGO I VASI EMORROIDARI, IN NUMERO SUPERIORE A TRE, IL MAGGIORE DEL DIAMETRO DI CIRCA 15 MM. 
PROSTATA AUMENTATA DI DIMENSIONI ( DIAMETRO TRASVERSO CIRCA 5 CM) PER LA PRESENZA DI UNA FORMAZIONE ADENOMATOSA CENTRALE.
CISTI RADICOLARE SACRALE. 
CONCLUSIONI: STADIAZIONE RM T4AN2
</t>
  </si>
  <si>
    <t>NELL'AMBITO DEL SIGMA-RETTO SI DOCUMENTA PRESENZA DI ISPESSIMENTO CIRCONFERENZIALE SUB-STENOSANTE CON CARATTERISTICHE DI SEGNALE DI TIPO SOLIDO E RESTRIZIONE ALLA DIFFUSIVITA PROTONICA, CHE SI ESTENDE LONGITUDINALMENTE PER CIRCA 6 CM DALLA GIUNZIONE RETTO-SIGMOIDEA SINO A LIVELLO DEL TERZO MEDIO RETTALE, A CIRCA 7 CM DALLA LINEA PETTINATA.
TALE ISPESSIMENTO (SPESSORE MAX 22 MM A ORE 6) DIMOSTRA SCONFINAMENTO OLTRE LA MUSCULARIS PROPRIA E NEL CONTESTO DEL TESSUTO ADIPOSO MESORETTALE IN DIVERSI SEGMENTI, IN PARTICOLARE:
- IN SEDE POSTERO-LATERALE DESTRA DOVE SI DOCUMENTA LA PRESENZA DI ESTROFLESSIONE SOLIDA A MARGINI IRREGOLARI, CON ALCUNE AREOLE CONTESUTALI MODICAMENTE T2 IPERINTENSE COME PER PRESENZA DI FOCI MUCINOSI, DI CIRCA 20 MM DI SPESSORE E CHE SI SVILUPPA LONGITUDINALMENTE NEL TESSUTO ADIPOSO MESORETTALE POSTERO-CRANIALMENTE PER 39 MM. TALE PROPAGGINE GIUNGE SUPERIORMENTE A CONTATTO CON LA FASCIA MESORETTALE POSTERIORE E IL SOMA DI S2, IN ASSENZA DI PIANI DI CLIVAGGIO ADIPOSO, E A CONTATTO ANCHE CON LA VENA MESENTERICA INFERIORE, INGLOBATA PER UN TRATTO DI CIRCA 20 MM, LA QUALE CRANIALMENTE A TALE LESIONE PRESENTA ASPETTO IRREGOLARE E ISPESSITO (SE 2-17; SEGNI DI INVASIONE VASCOLARE EXTRAMURALE?). CONCOMITANO PERIFERICAMENTE MULTIPLE NODULARITA SOLIDE SATELLITE, IN PARTE A CONTATTO, DI POSSIBILE NATURA ADENOPATICA, DELLE DIMENSIONI MASSIME DI 8 MM.
- ANTERO-LATERALMENTE A DESTRA, DA ORE 9 A ORE 3, INFERIORMENTE ALLA RIFLESSIONE PERITONEALE ANTERIORE (SE 7-11 E 16), DOVE SI OSSERVA ISPESSIMENTO RETICOLARE DEL TESSUTO ADIPOSO, CHE MOSTRA RESTRIZIONE ALLA DIFFUSIONE PROTONICA, E CHE GIUNGE A CONTATTO CON LA FASCIA MESORETTALE ANTERIORE A DESTRA.
MULTIPLI LINFONODI CON CARATTERISTICHE DI SOSPETTO SI OSSERVANO A LIVELLO DELLE STAZIONI REGIONALI, IN PARTICOLARE:
- NEL CONTESTO DEL TESSUTO ADIPOSO MESORETTALE, UNO DI ASPETTO ETEROGENEO IN SEDE LATERALE DESTRA (9 MM, TONDEGGIANTE; SE 7-18); E MULTIPLI CON SEGNALE MODICAMENTE T2-IPERINTENSO DI CUI IL MAGGIORE SI LOCALIZZA IN SEDE POSTERO-LATERALE SINISTRA (8 MM, TONDEGGIANTE; SE 7-21).
- IN SEDE RETTALE SUPERIORE, DI CUI IL MAGGIORE A MORFOLOGIA ETEROGENEA SI LOCALIZZA IN SEDE MEDIANA (6 MM, TONDEGGIANTE; SE 7-2).
LINFONODO OTTURATORIO SINISTRO DIMENSIONALMENTE AI LIMITI SUPERIORI DELLA NORMA (ASSE CORTO 6 MM).
UTERO, ANNESSI E CANALE VAGINALE POSTERIORE NEI LIMITI.
VESCICA MODICAMENTE DISTESA, A CONTENUTO OMOGENEO.
NON VERSAMENTO ADDOMINO-PELVICO."</t>
  </si>
  <si>
    <t>A LIVELLO DEL RETTO MEDIO, A CIRCA 7 CM DALLO SFINTERE ANALE INTERNO, SI DOCUMENTA ISPESSIMENTO PARIETALE ECCENTRICO DEL VISCERE, LOCALIZZATO LUNGO IL VERSANTE LATERALE E POSTERIORE SINISTRO, CON SPESSORE MASSIMO DI 13 MM ED ESTENSIONE LONGITUDINALE DI CIRCA 45 MM. LA LESIONE MOSTRA SEGNALE DEBOLMENTE IPERINTENSO NELLE SEQUENZE T2-DIPENDENTI, CON RESTRIZIONE DELLA DIFFUSIONE E PRECOCE ENHANCEMENT POST-CONTRASTOGRAFICO, CON ASPETTO DENTELLATO DELLA MUSCOLARE PROPRIA. 
NEL MESORETTO COESISTONO MULTIPLI LINFONODI (&gt; 4) A MORFOLOGIA GLOBOSA, PREVALENTEMENTE A SINISTRA DELLA LINEA MEDIANA, IL PIU VICINO ALLA FASCIA MESORETTALE DISTA 2 MM DALLA FASCIA.
ALCUNI LINFONODI CON ASSE CORTO SUBCENTIMETRICO SI DOCUMENTANO IN SEDE ILIACA ESTERNA DESTRA, ILIACA ESTERNA COMUNE ED ESTERNA DI SINISTRA ED OTTURATORIA BILATERALE, IL MAGGIORE A MORFOLOGIA LIEVEMENTE GLOBOSA CON DIAMETRO DI 7 MM IN SEDE ILIACA ESTERNA SINISTRA.
PROSTATA PROSTATA AUMENTATA DI DIMENSIONI CON LOBO MEDIO CHE IMPRONTA IL PAVIMENTO VESCICALE, A SEGNALE DISOMOGENEO. 
VESCICA SCARSAMENTE DISTESA, ESENTE DA INCLUSI.
NON VERSAMENTO LIBERO.
ANNOTAZIONI
LESIONE ETEROFORMATIVA DEL RETTO MEDIO, STADIAZIONE RM T3A, N2, EMVI -"</t>
  </si>
  <si>
    <t>IN CORRIPONDENZA DELLA PARETE LATERALE SINISTRA DEL RETTO BASSO, CON ESTENSIONE CRANIALE DI CIRCA 2 CM DALLO SFINTERE ANALE INTERNO, SI SEGNALA FORMAZIONE PEDUNCOLATA  , AGGETTANTE NEL LUME , CHE OCCUPA 2/4 DELLA CIRCONFERENZA DEL LUME. SOLO IN UN PUNTO NON RICONOSCIBILE LA CONTINUITÃ€ DELLO STRATO MUSCOLARE E RAGGIUNGE IL MESORETTO.
NEL MESORETTO LATERALE DI SN E NEL MESORETTO POSTERIORE SONO PRESENTI DUE LINFONODI CON ASSE CORTO  DI CIRCA 4 MM.
UTERO AUMENTATO DI DIMENSIONI (DIAMETRO TRASVERSO 5,5 CM, ) DI ASPETTO GLOBOSO.
IN CORRISPONDENZA DEL COLLO UTERINO SONO PRESENTI ALCUNE CISTI DI NABOTH , LA MAGGIORE DI CIRCA 1 CM 
MINIMA FALDA FLUIDA IN PELVI.
LINFONODI ASPECIFICI IN SEDE INGUINALE BILATERALE 
CONCLUSIONI: FORMAZIONE A PREVALENTE SVILUPPO ENDOLUMINALE DEL RETTO BASSO CHE SOLO IN UN PUNTO INTERROMPE LO STRATO MUSCOLARE E PRESENTA LIMITI SFUMATI VERO IL MESORETTO. NEL MESORETTO SONO PRESENTI DUE LINFONODI."</t>
  </si>
  <si>
    <t xml:space="preserve">SI SEGNALA LA PRESENZA SUBITO AL DI SOPRA DELLO SFINTERE ANALE INTERNO DI UNA FORMAZIONE AGGETTANTE DI MORFOLOGIA NON POLIPOIDE, CHE SI ESTENDE CAUDO-CRANIALMENTE PER CIRCA 3,5 CM ED OCCUPA DUE QUARTI DELLA CIRCONFERENZA DEL LUME CON EPICENTRO IN CORRISPONDENZA DELLA PARETE POSTERO-LATERALE DX DEL RETTO BASSO.     
LA NEOPLASIA Ãˆ MODERATAMENTE IPERINTENSA NELLE SEQUENZE T2 DIPENDENTI, APPARE IN GRAN PARTE INTRA-PARIETALE, SOLO IN UN PUNTO SCONFINA CON UNA DIGITAZIONE EXTRA-PARIETALE CONTIGUA MA SENZA EVIDENTI SEGNI DI INFILTRAZIONE DEL MUSCOLO ELEVATORE DELL'ANO DI DESTRA.   
NON EVIDENTI LINFONODI NEL MESORETTO. MILLIMETRICI LINFONODI A LIVELLO DELLA BIFORCAZIONE ILIACA DI DESTRA SENZA CARATTERISTICHE RM SOSPETTE DI LOCALIZZAZIONE.    
L'UTERO APPARE NOTEVOLMENTE AUMENTATO DI DIMENSIONI (DIAMETRO TRASVERSO CIRCA 12 CM) PER LA PRESENZA NEL SUO CONTESTO DI GROSSOLANE FORMAZIONI MIOMATOSE, LE MAGGIORI DELLE QUALI IN CORRISPONDENZA DEL CORPO DEL DIAMETRO RISPETTIVAMENTE DI CIRCA 8 E 4 CM.      
A LIVELLO DELLA CERVICE UTERINA SI OSSERVANO ALCUNE CISTI DI NABOTH 
SI SEGNALE INOLTRE LA PRESENZA IN CORRISPONDENZA DEL III INFERIORE DELLA VAGINA DI ALCUNE IMMAGINI CON ASPETTO DI TIPO CISTICO, NETTAMENTE IPERINTENSE NELLE SEQUENZE T2 DIPENDENTI, DEL DIAMETRO DI CIRCA 15 MM COMPATIBILI CON CISTI DEL BARTOLINO. 
NEL CONTESTO DELL'ANNESSO DI SN SONO PRESENTI ALCUNE IMMAGINI DI TIPO FOLLICOLARE.   
 CONCLUSIONI: STADIAZIONE RMT3N0   
</t>
  </si>
  <si>
    <t>&gt;5 mm?</t>
  </si>
  <si>
    <t>SI CONFERMA LA PRESENZA IN CORRISPONDENZA DEL RETTO MEDIO-ALTO, DI UN ISPESSIMENTO ECCENTRICO DELLA PARETE VISCERALE CHE MOSTRA SEGNALE DISOMOGENEAMENTE IPERINTENSO NELLE SEQUENZE T2-DIPENDENTI, RESTRIZIONE DELLA DIFFUSIONE PROTONICA ED ENHANCEMENT POSTCONTRASTOGRAFICO, DI NATURA ETEROPLASICA. TALE ISPESSIMENTO DISTA CIRCA 55 MM DALL'ORIFIZIO ANALE INTERNO, ESTENDENDOSI IN SENSO CC PER 65 MM, CON DIAMETRO AP 30 DI MM E LL DI 30 MM.
LA PARETE DEL RETTO E INTERESSATA A TUTTO SPESSORE CON SEGNI DI SCONFINAMENTO NEL TESSUTO ADIPOSO PERIRETTALE, IN PARTICOLARE LUNGO LA PARETE POSTERO-LATERALE SINISTRA, TUTTAVIA IN ASSENZA DI COINVOLGIMENTO PATOLOGICO DELLA FASCIA MESORETTALE.
NEL PERIRETTO-SIGMA SONO PRESENTI ALMENO QUATTRO LINFONODI CON MORFOLOGIA ROTONDEGGIANTE E MARGINI SFUMATI, SOSPETTI, IL MAGGIORE DI 6 MM IN SEDE PRESACRALE.
LINFONODO CON ASSE CORTO DI 7 MM IN SEDE ILIACA ESTERNA DESTRA.
VESCICA NORMODISTESA, ESENTE DA ISPESSIMENTI FOCALI DI PARETE.
PROSTATA DI DIMENSIONI AUMENTATE (DT 47 MM), CON III LOBO AGGETTANTE IN VESCICA, MERITEVOLE DI VIDEAT UROLOGICO OVE NON ESEGUITO DI RECENTE.
NON FALDE FLUIDE IN SCAVO PELVICO.
CONCLUSIONI: NEOPLASIA RETTALE T3 MRF- N2A M0 (M1 SE LINFONODO INGUINALE ESTERNO DESTRO CONFERMATO)."</t>
  </si>
  <si>
    <t xml:space="preserve">A CIRCA 5 CM DALLO SFINTERE ANALE INTERNO CON ESTENSIONE CRANIALE DI CIRCA 4 CM, E PRESENTE FORMAZIONE AGGETANTE CHE OCCUPA 2/4 DELLA CIRCONFERENZA DEL LUME CON EPICENTRO IN CORRISPONDENZA DELLA PARETE POSTERIORE; LA FORMAZIONE INVIA DIGITAZIONI NEL MESORETTO POSTERIORE.  
NEL MESORETTO E LUNGO I VASI EMORROIDARI SUPERIORI SONO PRESENTI TRE LINFONODI SOSPETTI DEL DIAMETRO MEDIO DI CIRCA 5 MM, UNO DEI QUALI ADESO ALLA FASCIA PERIRETTALE. LINFONODI DEL DIAMETRO DI CIRCA 6 MM LUNGO L'ASSE ILIACO COMUNE-ESTERNO DI SN.
AUMENTO VOLUMETRICO DELLA PROSTATA (DIAMETRO TRASVERSO CIRCA 5 CM) PER LA PRESENZA DI UNA FORMAZIONE ADENOMATOSA CENTRALE.  
DIFFUSO ISPESSIMENTO DELLE PARETI DELLA VESCICA.  
ALCUNI DIVERTICOLI IN CORRISPONDENZA DEL SIGMA.
CONCLUSIONI: STADIAZIONE RM T3N1MRF+ </t>
  </si>
  <si>
    <t>['rettali_superiori', 'mesorettali']</t>
  </si>
  <si>
    <t>IN CORRISPONDENZA DEL RETTO MEDIO-ALTO , DA CIRCA 8 CM DALLO SFINTERE ANALE INTERNO CON ESTENSIONE CRANIALE PER CIRCA 5 CM ,SI SEGNALA FORMAZIONE AGGETTANTE CHE INTERESSA 3/4 DELLA CIRCONFERENZA DEL LUME ED INVIA DIGITAZIONI  POLIPOIDI NEL MESORETTO CHE INGLOBANO I VASI EMORROIDARI ED IN UN PUTO RETRAE  IL PERITONEO.
NEL MESORETTO E LUNGO I VASI EMORROIDARI SUPERIORI SONO PRESENTI ALCUNI PICCOLI LINFONODI , DISOMOGENEI A CONTORNI SFUMATI.
PROSTATA AUMENTATA DI DIMENSIONI , DT CIRCA 5 CM, DISOMOGENEA.
DIFFUSO ISPESSIMENTO DELLE PARETI VESCICALI.
CONCLUSIONI: STADIAZIONE RM  T4AN1  EMVI"</t>
  </si>
  <si>
    <t>IN CORRISPONDENZA DELLA PARETE POSTERO-LATERALE DESTRA DEL RETTO, A CIRCA 3,5 CM DALLO SFINTERE ANALE INTERNO E CON ESTENSIONE CRANIALE DI CIRCA 2,7 CM, SI SEGNALA FORMAZIONE AGGETTANTE CHE OCCUPA 1/4 DELLA CIRCONFERENZA DEL LUME (SPESSORE MASSIMO DI 1,5 CM) CON INTERRUZIONE DEL PROFILO PARIETALE SUL VERSANTE POSTERO-LATERALE ED ASSOCIATE PICCOLE DIGITAZIONI NEL MESORETTO (DELLO SPESSORE MASSIMO &lt; 5 MM) .
A TALE LIVELLO NON SI APPREZZA SICURO PIANO DI CLIVAGGIO ADIPOSO CON I FASCI DEL M. ELEVATORE DELL'ANO DI DESTRA, IN ASSENZA TUTTAVIA DI CHIARI SEGNI DI INFILTRAZIONE.
ALMENO TRE LINFONODI SOSPETTI NEL MESORETTO, IL MAGGIORE DEL DIAMETRO MEDIO DI CIRCA 5 MM.
VARICI PELVICHE BILATERALI."</t>
  </si>
  <si>
    <t xml:space="preserve">linfonodi non dovrebbero essere sospetti. </t>
  </si>
  <si>
    <t>SI EVIDENZIA ISPESSIMENTO PARIETALE AGGETTANTE NEL LUME DEL RETTO MEDIO-ALTO, A CIRCA 7 CM DA OAI, ESTESO PER CIRCA 5 CM, CHE INTERESSA CIRCA TRE-QUARTI DELLA CIRCONFERENZA DEL VISCERE CON EPICENTRO SUL VERSANTE ANTERO-LATERALE DI SINISTRA; LA LESIONE INFILTRA A TUTTO SPESSORE LA PARETE DEL RETTO, CON FINI SEGNI DI ESTENSIONE NEL CELLULARE ADIPOSO MESORETTALE. TRE LINFONODI, IL MAGGIORE DEI QUALI DEL DIAMETRO DI 6-7 MM, SI OSSERVANO IN SEDE EMORROIDARIA SUPERIORE, E ALTRI DI MINUTE DIMENSIONI IN SEDE MESORETTALE IL MAGGIORE DEI QUALI DI 5 MM SUL VERSANTE ANTERIORE SINISTRO (VEDI IMMAGINI PRINCIPALI). NON FALDE DI VERSAMENTO NELLO SCAVO PELVICO."</t>
  </si>
  <si>
    <t>&gt; o &lt; 5mm?</t>
  </si>
  <si>
    <t>IN CORRISPONDENZA DEL RETTO MEDIO, AD ALMENO 9.3 CM DA OAE, SI EVIDENZIA ISPESSIMENTO PARIETALE VEROSIMILMENTE ULCERATO, DEBOLMENTE INTENSO NELLE SEQUENZE T2 DIPENDENTI, CON SEGNI DI RESTRIZIONE DELLA DIFFUSIVITA PROTONICA, CHE INTERESSA LA PARETE PER CIRCA 1/3 DELLA SUA CIRCONFERENZA (DA H 12 A H 4 PER CIRCA 3 CM), CON ESTENSIONE CRANIO-CAUDALE DI CIRCA 6 CM. LA LESIONI MOSTRA ALCUNE FOCALI IRREGOLARITA NODULARIFORMI DEL PROFILO NEL MESORETTO DI DESTRA (IMG 6-12). SI ASSOCIANO MULTIPLI LINFONODI LOCOREGIONALI, ALMENO QUATTRO IN SEDE MESORETTALE POSTERIORE DESTRA E SINISTRA E DUE LINFONODI IN SEDE EMORROIDARIA SUPERIORE. NON FALDE DI VERSAMENTO LIBERO NELLO SCAVO PELVICO."</t>
  </si>
  <si>
    <t>SI CONFERMA GROSSOLANO ISPESSIMENTO PATOLOGICO DELLE PARETI DEL RETTO, DA CIRCA 2,5 CM DALLO SFINTERE ANALE INTERNO E CON ESTENSIUONE CRANIALE PER CIRCA 6,8 CM, A MORFOLOGIA VEGETANTE, CHE DETERMINA STENOSI DEL LUME, CARATTERIZZATO DA AMPIA COMPONENTE IPERINTENSA NELLE NELLE SEQUENZE T2 DIPENDENTI, COME PER COMPONENTE MUCINOSA, RESTRIZIONE DELLA DIFFUSIONE PROTONICA ED AUMENTATA IMPREGNAZIONE POST CONTRASTOGRAFICA. 
L'ISPESSIMENTO DESCRITTO INTERESSA I 3/4 DELLA CIRCONFERENZA, DA ORE 3 A ORE 11, DEL DIAMETRO ASSIALE MASSIMO DI CIRCA 6 CM E MOSTRA SEGNI DI SCONFINAMENTO IN PARTICOLARE LUNGO LA PARETE POSTERO-LATERALE DESTRA CON INFILTRAZIONE DELLA FASCIA MESORETTALE, DEI MUSCOLI ELEVATORI DELL'ANO E ISCHIOCOCCIGEO, MAGGIORE A DESTRA.  
MULTIPLI LINFONODI (&gt;3) A MORFOLOGIA TONDEGGIANTE NEL MESORETTO E LUNGO I VASI EMORROIDARI, IL MAGGIORE CON ASSE CORTO DI 6 MM A MARGINI SFUMATI, DA RIFERIRE A LOCALIZZAZIONE DI MALATTIA. 
LINFONODI CON ASSE CORTO SUB E PERICENTIMETRICO IN SEDE OTTURATORIA BILATERALE, IL MAGGIORE A SINISTRA CON ASSE CORTO DI 7 MM, ASPECIFICI.
ESITI DI ISTEROANNESSIECTOMIA.
VESCICA SOVRADISTESA, ESENTE DA EVIDENTI ISPESSIMENTI PARIETALI O FORMAZIONI AGGETTANTI NEL LUME.
MODESTA FALDA FLUIDA LIBERA IN PELVI."</t>
  </si>
  <si>
    <t xml:space="preserve">emvi? </t>
  </si>
  <si>
    <t>SI CONFERMA LA PRESENZA DI UN GROSSOLANO PROCESSO ESPANSIVO CON ASPETTO VILLOSO, IPERINTENSO IN T2W, CON RESTRIZIONE DELLA DIFFUSIONE PROTONICA ED ENHANCEMENT DOPO INFUSIONE DI MDC, CHE INTERESSA TUTTO IL RETTO CON ESTENSIONE DALLA GIUNZIONE RETTO SIGMOIDEA  SINO ALL'OAI. TALE FORMAZIONE INTERESSA CIRCONFERENZIALMENTE IL VISCERE CON AGGETTO ENDOLUMINALE, SENZA SEGNI DI STENOSI E DILATAZIONE A MONTE.
LA MUSCOLARE APPARE IN GRAN PARTE RISPETTATA; TUTTAVIA IN CORRISPONDENZA DEL RETTO ALTO SONO EVIDENTI FOCALI INTERRUZIONI CON SCONFINAMENTO DELLA NOEPLASIA NEL TESSUTO ADIPOSO EXTRAPARIETALE, SPECIE SUL VERSANTE POSTERIORE PRESACRALE.
LA LESIONE APPARE IPERVASCOLARIZZATA DAI VASI MESENTERICI INFERIORI ED EMORROIDARI, CHE APPAIONO IPERTROFICI. 
SI CONFERMA LA PRESENZA DI  LINFONODI SUBCENTIMETRICI NEL GRASSO PERIRETTALE E NEL TESSUTO ADIPOSO PRESACRALE. IN SEDE OTTURATORIA DESTRA Ãˆ PRESENTE UN LINFONODO DI NATURA SOSPETTA, IPERINTENSO IN T2W DELLE DIMENSIONI DI 9MM X 6MM CIRCA.
CONCLUSIONI: IL QUADRO RM DEPONE PER ADENOMA VILLOSO CANCERIZZATO; STADIAZIONE RM T3B - N+."</t>
  </si>
  <si>
    <t>['otturatori', 'mesorettali', 'sacrali']</t>
  </si>
  <si>
    <t>il linfonodo sospetto Ã¨ solo quello otturatorio destro?</t>
  </si>
  <si>
    <t>ISPESSIMENTO A SCODELLA DELLA PARETE ANTERIORE DEL RETTO MEDIO-BASSO, PARZIALMENTE AGGETTANTE NEL LUME DEL VISCERE (SPESSORE MAX CIRCA 2 CM), CHE INTERESSA 1/3 DELLA CIRCONFERENZA, CON ESTENSIONE CC DI CIRCA 6 CM, COINVOLGENTE IL CANALE ANALE SUPERIORE (PER CIRCA 1.4 CM DA OAI E FINO A CIRCA 3 CM DA OAE - VEDI IMMAGINI PRINCIPALI). LA LESIONE, DI SIGNIFICATO ETEROFORMATIVO, DIMENSIONALMENTE PARI SUL PIANO ASSIALE A CIRCA 4.8 CM X 2 CM, MOSTRA SEGNALE IPERINTENSO NELLE SEQUENZE T2 DIPENDENTI, CHIARI SEGNI DI RESTRIZIONE DELLA DIFFUSIONE PROTONICA ED ETEROGENEA IMPREGNAZIONE POST-CONTRASTOGRAFICA, E INFILTRA LA PARETE A TUTTO SPESSORE CON FINI DIGITAZIONI NEL MESORETTO/FASCIA MESORETTALE ANTERIORE. COMUNQUE APPARENTEMENTE CONSERVATO IL SETTO RETTO-VAGINALE. 
 ALMENO TRE LINFONODI NEL MESORETTO DI DESTRA, IL MAGGIORE DEI QUALI DI CIRCA 6 MM (H 9); ULTERIORI PICCOLI LINFONODI LUNGO LA CATENA ILIACA ESTERNA E INTERNA DI DESTRA, NEL PUNTO DI BIFORCAZIONE VASCOLARE, E IN SEDE EMORROIDARIA MEDIA A SINISTRA. LINFONODO GLOBOSO CON ASSE CORTO DI 10 MM E SEGNALE DISOMOGENEO IN SEDE OTTURATORIA DESTRA, DI NATURA SOSPETTA, E LINFONODO A MORFOLOGIA ALLUNGATA IN SEDE OTTURATORIA SINISTRA (ASSE CORTO 7 MM), ASPECIFICO. ULTERIORE GRUPPO DI LINFONODI, PARZIALMENTE COALESCENTI, IN SEDE PARAORTICA E ILIACA COMUNE SINISTRA.
UTERO IN INVOLUZIONE POST-MENOPAUSALE, CON EVIDENZA DI PICCOLO NODULO FIBROMATOSO (CALCIFICO) IN CORRISPONDENZA DEL FONDO, DI 4 MM; ENDOMETRIO LINEARE. DUE MINUTE CISTI DI NABOTH IN SEDE CERVICALE, LA MAGGIORE DI 3 MM. NON ESPANSI IN SEDE ANNESSIALE BILATERALE. VESCICA URINARIA SOLO MODERATAMENTE REPLETA, APPARENTEMENTE ESENTE DA ALTERAZIONI ENDOLUMINALI E PARIETALI. MINIMA IMBIBIZIONE FLUIDA NELLO SCAVO DEL DOUGLAS. 
CISTI RENALI BILATERALI; NON IDROURETERONEFROSI.
IN VIA COLLATERALE CISTI PERIRADICOLARE DI TARLOV A LIVELLO S2."</t>
  </si>
  <si>
    <t>IN CORRISPONDENZA DEL RETTO MEDIO-ALTO , A CAVALLO DELLA RIFLESSIONE PARIETALE , DA CIRCA 7,4 CM DALL'ORIFIZIO ANALE INTERNO CON ESTENSIONE CRANIALE PER CIRCA 3,5 CM E PRESENTE ISPESSIMENTO PARIETALE CHE OCCUPA 3/4 DELLA CIRCONFERENZA DEL LUME CON EPICENTRO IN CORRISPONDENZA DELLA PARETE LATERALE DESTRA ED INVIA DIGITAZIONI NEL MESORETTO CHE SEGUONO I VASI EMORROIDARI.
NEL MESORETTO-LUNGO I VASI EMORROIDARI SUPERIORI SONO PRESENTI TRE LINFONODI SOSPETTI CON ASSE CORTO DI CIRCA 5 MM. 
ESITI DI PREGRESSO INTERVENTO DI ISTERECTOMIA. 
ERNIA OMBELICALE CON PORTA ERNIARIA DI CIRCA 4 CM ED IMPEGNO DI ALCUNE ANSE TENUALI 
CONCLUSIONI NEOPLASIA DEL RETTO MEDIO-ALTO T3 N1 EMVI"</t>
  </si>
  <si>
    <t xml:space="preserve">&gt;5 mm? sospetto emvi? </t>
  </si>
  <si>
    <t>NEL RETTO MEDIO SI RILEVA VOLUMINOSA NEOFORMAZIONE POLIPOIDE VEGETANTE CON LARGA BASE D'IMPIANTO LOCALIZZATA IN CORRISPONDENZA DELLA PARETE LATERALE DESTRA, DOVE SI RILEVA PARZIALE RETRAZIONE DELLE STRUTTURE FIBROVASCOLARI E DEL TESSUTO ADIPOSO MESORETTALE CIRCOSTANTE; LA NEOFORMAZIONE PRESENTA SUPERFICIE VILLOSA IRREGOLARE, MOSTRA DIMENSIONI ASSIALI MASSIME DI CIRCA 9,5 X 7,2 CM E LONGITUDINALI DI CIRCA 10 CM CON ESTENSIONE AL RETTO BASSO ED ALTO, DETERMINA OBLITERAZIONE PRESSOCHÃˆ COMPLETA DEL LUME.
TALE LESIONE A LIVELLO DELLA BASE DI IMPIANTO - LUNGO LA PARETE LATERALE DESTRA - ASSUME ASPETTO RETRAENTE E MOSTRA FOCALE ESTENSIONE EXTRAPARIETALE (SE5IMA25); IN CORRISPONDENZA DEL RETTO PROSSIMALE LA NEOFORMAZIONE COINVOLGE LE PARETI DEL VISCERE A TUTTO SPESSORE, PRESENTANDO FOCALE ESTENSIONE EXTRAPARIETALE LUNGO IL VERSANTE ANTERIORE (SE10IMA33), DOVE GIUNGE A RIDOSSO DELLA FASCIA MESORETTALE; SI ASSOCIA SEGNALE DISOMOGENEO DEL TESSUTO MESORETTALE ADIACENTE.
NON RISULTA BEN VALUTABILE LA DISTANZA DELLA BASE D'IMPIANTO DAL MARGINE ANALE IN RELAZIONE ALL'ASPETTO RETRATTO DEL VISCERE; TUTTAVIA, DOPO SOMMINISTRAZIONE DI GEL PER VIA RETROGRADA, LA COMPONENTE VEGETANTE DELLA LESIONE APPARE BEN DISSOCIABILE DALLE PARETI DEL RETTO BASSO.
SI ASSOCIANO NUMEROSE STRUTTURE VASCOLARI ECTASICHE PERIRETTALI CON IPEREMIA DELLA MUCOSA DEL RETTO DISTALE.
COESISTONO NUMEROSI LINFONODI CON ASSE CORTO PERICENTIMETRICO LUNGO I VASI EMORROIDARI SUPERIORI E IN SEDE MESORETTALE, DI ASPETTO PATOLOGICO; ULTERIORI LINFONODI DI ASPETTO PATOLOGICO CON ASSE CORTO DI 8 MM SI OSSERVANO IN SEDE OTTURATORIA DX, DI CUI UNO ADESO ALLA FASCIA MESORETTALE E ILIACA ESTERNA OMOLATERALE.
LA PROSTATA Ãˆ LIEVEMENTE AUMENTATA DI DIMENSIONI ( DT CIRCA 4,7 CM) CON PROMINENZA DEL TERZO LOBO CHE SOLLEVA IL PAVIMENTO VESCICALE. VESCICA IPODISTESA.
LINFONODI DI ASPETTO ASPECIFICO IN SEDE INGUINALE BILATERALE.
FORMAZIONE IPERINTENSA IN T1 E T2 DI 11 MM A CARICO DI S1.
CONCLUSIONI: VOLUMINOSA NEOPLASIA AGGETTANTE CON BASE DI IMPIANTO IN CORRISPONDENZA DELLA PARETE LATERALE DX DEL RETTO MEDIO CON SEGNI DI SCONFINAMENTO EXTRAPARIETALE E LINFOADENOPATIE MULTIPLE, COME PER LESIONE T3N+"</t>
  </si>
  <si>
    <t>SI CONFERMA LA PRESENZA IN CORRISPONDENZA DELLA PARETE ANTERO-LATERALE DX DEL RETTO MEDIO-ALTO DI UN PROCESSO ESPANSIVO-INFILTRATIVO DEBOLMENTE IPERINTENSO NELLE SEQUENZE T2-DIPENDENTI, CON ASPETTO VEGENTANTE ENDOLUMINALE, CON RESTRIZIONE DELLA DIFFUSIONE PROTONICA (DWI/ADC).
TALE LESIONE INTERESSA CIRCA I 3/4 DELLA CICONFERENZA DEL VISCERE (DA ORE 6 A ORE 2) E PRESENTA MARGINE INFERIORE A CIRCA 8 CM DALLO SAI ED ESTENSIONE CRANIO-CAUDALE DI CIRCA 5.2CM.
LA PARETE DEL RETTO Ãˆ INTERESSATA A TUTTO SPESSORE CON FINI IRREGOLARITÃ€ SUL VERSANTE SIEROSO ALL'INTERFACCIA CON IL TESSUTO ADIPOSO PERIRETTALE COME PER INIZIALI SEGNI DI INFILTRAZIONE.
LA LESIONE RAGGIUNGE E RETRAE LA RIFLESSIONE PERITONEALE.
NEL PERIRETTO SONO PRESENTI MULTIPLI LINFONODI (IN NUMERO SUPERIORE A 3), IL MAGGIORE DI CIRCA 5 MM LOCALIZZATO IN SEDE PRESACRALE/LUNGO I VASI EMORROIDARI SUPERIORI. 
LINFONODI CON ASSE CORTO INFERIORE AD 1 CM, ASPECIFICI, IN SEDE OTTURATORIA BILATERALMENTE.
NON VERSAMENTO NEL CAVO DEL DOUGLAS.
IN VIA COLLATERALE:
UTERO DI ASPETTO GLOBOSO CON DIFFUSA DISOMOGENEITÃ€ DI SEGNALE DEL MIOMETRIO COME PER FIBROMATOSI MULTIPLA; IN PARTICOLARE SI OSSERVA MIOMA DI MAGGIORI DIMENSIONI DI CIRCA 16MM DELLA PARETE ANTERO-LATERALE DX DEL CORPO A SVILUPPO IM. IL CANALE CERVICALE APPARE DISTESO ED OBLITERATO DA TESSUTO CON CARATTERISTICHE ESPANSIVE A SEGNALE DISOMOGENEAMENTE IPERINTENSO NELLE SEQUENZE T2W CON AREE SIMIL CISTICHE E TRALCI IPOINTENSI AL SUO INTERNO, COMPATIBILE IN PRIMA IPOTESI CON POLIPO PEDUNCOLATO AD APPARENTE ORIGINE IN SEDE ISTMICA. NECESSARIA VALUTAZIONE SPECIALISTICA QUALORA NON GIÃ€ ESEGUITA."</t>
  </si>
  <si>
    <t xml:space="preserve">metto sospetta infiltrazione elevatore? diventerebbe perÃ² T4. linfonodi dovrebbe essere sospetto solo quello laterale. </t>
  </si>
  <si>
    <t>IN CORRISPONDENZA DELLA PARETE LATERALE DESTRA DEL RETTO BASSO DA CIRCA 15 MM DALLO SFINTERE ANALE INTERNO CON ESTENSIONE CRANIALE PER CIRCA 3,2 CM E PRESENTE FORMAZIONE AGGETTANTE CHE OCCUPA DUE QUARTI DELLA CIRCONFERENZA DEL LUME ED INVIA DIGITAZIONI NEL MESORETTO CHE RAGGIUNGONO IL MUSCOLO ELAVATORE DELL'ANO DI DESTRA MA SENZA EVIDENTI SICURI SEGNI DI INFILTRAZIONE.
NEL MESORETTO SONO PRESENTI  DUE LINFONODI IL MAGGIORE DEI QUALI  CON ASSE CORTO DI CIRCA 8 MM ADESO ALLA FASCIA PERIRETTALE, A DESTRA.
IN SEDE LATERALE DESTRA E PRESENTE UN LINFONODO CON ASSE CORTO DI CIRCA 7 MM.
VARICI PELVICHE BILATERALE.
UTERO FIBROMATOSO (DIAMETRO TRASVERSO CIRCA 7,4 CM.) 
FALDA FLUIDA IN CAVITA UTERINA 
MINIMA FALDA FLUIDA IN PELVI.
IN CORRISPONDENZA DEL COLLO UTERINO SONO PRESENTI ALCUNE CISTI DI NABOTH.
NEL CONTESTO DELL'ANNESSO DI DESTRA SONO PRESENTI ALCUNE IMMAGINI DI TIPO FOLLICOLARE LA MAGGIORE DELLE QUALI DI CIRCA 14 MM.
CONCLUSIONI: STADIAZIONE RM T3 N1MRF+ EXTRAMESORETTALE"</t>
  </si>
  <si>
    <t>emvi? mesoretto metto sospetto?</t>
  </si>
  <si>
    <t>SI CONFERMA LA PRESENZA DI UN ISPESSIMENTO PARIETALE, CON ASPETTO AGGETTANTE ENDOLUMINALE, DELLO SPESSORE DI CIRCA 7 MM, LOCALIZZATO SULLA PARETE POSTERIORE DEL RETTO BASSO, A CIRCA 2,7 CM DAL MARGINE ANALE INTERNO, ESTESO IN SENSO CC PER CIRCA 2,8 CM, CHE INTERESSA CIRCA 1/4 DELLA CIRCONFERENZA DEL VISCERE. LA PARETE APPARE FOCALMENTE ""PINZATA"" SUL VERSANTE POSTERO-LATERALE DESTRO, CON IPERTROFIA DEI VASI EMORROIDARI ADIACENTI, E MOSTRA PROFILO LIEVEMENTE IRREGOLARE VERSO IL MESORETTO. ALCUNI MILLIMETRICI LINFONODI PERIRETTALI, DI CUI UNO (4 MM CIRCA) ADIACENTE AI VASI EMORROIDARI ECTASICI ED ALL'ISPESSIMENTO PARIETALE GIÃ€ DESCRITTI.
PICCOLA FALDA FLUIDA IN PELVI.
PROSTATA AUMENTATA DI DIMENSIONI (DT CIRCA 5 CM), CON ASPETTO LIEVEMENTE DISOMOGENEO E CON PRESENZA DI ADENOMIOMI DELLA REGIONE CENTRALE; NEL CONTESTO DELLA REGIONE PERIFERICA IN SEDE ANTERIORE SI DOCUMENTANO DUE AREE IPOINTENSE NELLE IMMAGINI T2 DIPENDENTI DI CIRCA 1 CM A DESTRA E 9 MM A SINISTRA, DA CORRELARE CON I DATI DI PSA.
IDROCELE BILATERALE."</t>
  </si>
  <si>
    <t>non specificano invasione mesoretto ma nelle conclusioni scrivono T3, metto ab o cd?</t>
  </si>
  <si>
    <t>IN CORRISPONDENZA DEL RETTO BASSO CON ESTENSIONE AL III SUPERIORE DEL CANALE ANALE FINO ALLA LINEA PETTINATA E PRESENTE FORMAZIONE AGGETTANTE CON ESTENSIONE CAUDO-CRANIALE DI CIRCA 3,6 CM CHE OCCUPA 2/4 DELLA CIRCONFERENZA DEL LUME CON MORFOLOGIA VEGETANTE ED EPICENTRO IN CORRISPONDENZA DELLA PARETE POSTEROLATERALE DESTRA 
LA NEOPLASIA  INFILTRA LO SFINTERE ANALE INTERNO E RAGGIUNGE IL PIANO INTERSFINTERIALE .
DUE LINFONODI SOSPETTI SONO PRESENTI NEL MESORETTO POSTERIORE,  IL MAGGIORE CON CON ASSE CORTO DI CIRCA 6 MM.
UTERO IN ATROFIA SENILE FIBROMIOMATOSO A NODI MULTIPLI IL MAGGIORE IN  CORRISPONDENZA DELLA PARETE ANTERIORE DEL FONDO UTERINO DI TIPO INTRAMURALE DI CIRCA 1 CM 
IN CORRISPONDENZA DEL SIGMA SONO PRESENTI ALCUNI GROSSOLANI DIVERTICOLI. SI ASSOCIA ASPETTO FISSO DEL SIGMA ED ISPESSIMENTO PARIETALE COME PER PERIVISCERITE.
CONCLUSIONI: STADIAZIONE RM T3N1"</t>
  </si>
  <si>
    <t>IN CORRISPONDENZA DEL RETTO MEDIO-ALTO, A PREVALENTE SVILUPPO IN CORRISPONDENZA DEL RETTO ALTO, SI SEGNALA FORMAZIONE AGGETTANTE CHE DA CIRCA 7,4 CM DALLO SFINTERE ANALE INTERNO SI ESTENDE CRANIALMENTE PER CIRCA 3 CM , OCCUPA 3/4 DELLA CIRCONFERENZA DEL LUME CON EPICENTRO IN CORRISPONDENZA DELLA PARETE LATERALE DESTRA 
LA NEOPLASIA SCONFINA NEL MESORETTO CON UNA PROFONDITÃ€ INFERIORE A 5 MM 
NEL MESORETTO LATERALE DI DESTRA Ãˆ PRESENTE UN LINFONODO SOSPETTO CON ASSE CORTO DI CIRCA 6 MM.
LUNGO I VASI EMORROIDARI SUPERIORI SONO PRESENTI ALCUNI LINFONODI IL MAGGIORE DEI QUALI CON ASSE CORTO DI CIRCA 7 MM, SOSPETTO.
UTERO NORMOVERSOFLESSO DI DIMENSIONI CONSONE ALL'ETÃ€ DELLA PAZIENTE. 
PICCOLA FALDA FLUIDA IN CAVITÃ€ UTERINA.
IN CORRISPONDENZA DEL COLLO UTERINO SONO PRESENTI ALCUNE CISTI DI NABOTH .
 VARICI PELVICHE A SINISTRA.
LINFONODI ASPECIFICI IN SEDE INGUINALE BILATERALE.
CONCLUSIONI: NEOPLASIA DEL RETTO MEDIO-ALTO T3AB N1"</t>
  </si>
  <si>
    <t>aspetto stirato sigma per endometriosi? linfonodi?
Dove hai letto endometriosi? Ti sta parlando sempre della lesione, come se fosse coinvolta la RP, quindi la mettiamo "a rischio"
LINFONODI: emorroidari superiori, numero non noto</t>
  </si>
  <si>
    <t>AL PASSAGGIO RETTO-SIGMA, A CIRCA 10 CM DAL MARGINE ANALE ESTERNO, SI DOCUMENTA ESTESO ISPESSIMENTO PARIETALE CONCENTRICO DEL VISCERE, CON SPESSORE MASSIMO DI 14 MM ED ESTENSIONE LONGITUDINALE DI CIRCA 6 CM, A SEGNALE DISOMOGENEAMENTE IPOINTENSO NELLE IMMAGINI T2-DIPENDENTI, RESTRIZIONE DELLA DIFFUSIONE E DISOMOGENEA IMPREGNAZIONE POST-CONTRASTOGRAFICA, DI SIGNIFICATO ETEROFORMATIVO. 
COESTONO SEGNI DI ESTENSIONE EXTRA-PARIETALE CON SPICULE DI TESSUTO CHE SI ESTENDONO NEL TESSUTO ADIPOSO MESORETTALE, SPECIE SUL VERSANTE LATERALE SINISTRO, OVE IL TESSUTO RISULTA IN CONTINUITA CON GROSSOLANO GETTONE SOLIDO DI 20 MM. NEL CONTESTO DEL TESSUTO ADIPOSO MESORETTALE DI SINISTRA, LUNGO I VASI EMORROIDARI SUPERIORI, SI DOCUMENTANO ULTERIORI GETTONI SOLIDI CON ANALOGHE CARATTERISTICHE DI SEGNALE E DI MEDESIMO SIGNIFICATO PATOLOGICO, I MAGGIORI DI 11 MM E 8 MM, CON SIGNIFICATO DI DEPOSITI TUMORALI. 
ALCUNI LINFONODI A MORFOLOGIA GLOBOSA  LUNGO I VASI EMORROIDARI SUPERIORI.
UTERO LATERO-DEVIATO A SINISTRA, AUMENTATO DI DIMENSIONI E FIBROMATOSO.
NON ESPANSI IN SEDE ANNESSIALE BILATERALMENTE OVE SI OSSERVANO ALCUNE MINUTE CISTI, DI VEROSIMILE NATURA FUNZIONALE.
VESCICA SCARSAMENTE DISTESA, ESENTE DA INCLUSI.
NEL CAVO DAL DOUGLAS SI DOCUMENTA ISPESSIMENTO A SEGNALE IPOINTENSO NELLE IMMAGINI T2-DIPENDENTI DELLA RIFLESSIONE PERITONEALE (PIU EVIDENTE A SINISTRA) CON ASPETTO ATTRATTO E STIRATO CAUDALMENTE E A DESTRA DEL SIGMA DISTALE, POCO CRANIALMENTE ALLA LESIONE RETTALE DESCRITTA.
NON VERSAMENTO LIBERO."</t>
  </si>
  <si>
    <t>IN CORRISPONDENZA DEL RETTO BASSO, A CIRCA 4 CM DALL'ORIFIZIO ANALE INTERNO, Ãˆ PRESENTE ISPESSIMENTO SEMICIRCONFERENZIALE IPERINTENSO NELLE SEQUENZE T2 DIPENDENTI E DWI, CON EPICENTRO NELLA PARETE POSTERIORE ED ESTENSIONE CRANIO-CAUDALE DI CIRCA 7.8 CM; LA LESIONE INFILTRA LA PARETE A TUTTO SPESSORE, CON ESTENSIONE NEL MESORETTO POSTERIORE CHE ARRIVA A LAMBIRE IL PIANO FASCIALE. MULTIPLI LINFONODI SONO PRESENTI NEL MESORETTO POSTERIORE E LATERALE BILATERALMENTE, E IN SEDE EMORROIDARIA SUPERIORE. NON FALDE DI VERSAMENTO LIBERO NELLO SCAVO PELVICO.
IN VIA COLLATERALE SI EVIDENZIANO DIVERTICOLOSI DEL SIGMA E IPERTROFIA DELLA PROSTATA (DT 5 CM)."</t>
  </si>
  <si>
    <t>metto prostata infiltrata?</t>
  </si>
  <si>
    <t>ISPESSIMENTO CONCENTRICO DEL RETTO MEDIO (SPESSORE MAX CIRCA 2 CM), A CIRCA 6.5 CM DA OAE, CON DCC DI 6 CM, DISOMOGENEAMENTE IPERINTENSO NELLE SEQUENZE T2 DIPENDENTI E CARATTERIZZATO DA COMPONENTE MAGGIORMENTE IPERINTENSA SUL VERSANTE ANTERIORE DESTRO (MUCINOSA?), DA RESTRIZIONE DELLA DIFFUSIONE PROTONICA E SPICCATO CE; LA LESIONE INTERESSA LA PARETE A TUTTO SPESSORE, CON SEGNI DI INFILTRAZIONE DEL MESORETTO PIÃ™ EVIDENTI POSTERIORMENTE, OVE DUE PROPAGGINI SI ESTENDENDONO FOCALMENTE ALLA FASCIA MESORETTALE (TRA H 4-5 E H 6). 
OBLITERATO IL CLIVAGGIO ADIPOSO DELLA FORMAZIONE CON IL PROFILO POSTERIORE DELLA PROSTATA IN SEDE ANTERIORE PARAMEDIANA SINISTRA, SENZA SICURI SEGNI DI INFILTRAZIONE GHIANDOLARE.
NUMEROSE LINFOADENOPATIE SONO VISIBILI NEL MESORETTO, IN SEDE EXTRAMESORETTALE BILATERALMENTE ED EMORROIDARIA SUPERIORE; LINFONODI ASPECIFICI, CON CENTRO ADIPOSO E ASSE CORTO SUBCENTIMETRICO IN PARAORTICA SINISTRA. 
NON FALDE DI VERSAMENTO LIBERO NELLO SCAVO PELVICO."</t>
  </si>
  <si>
    <t xml:space="preserve">metto prostata infiltrata?
sospetta. 
Numero linfonodi regionali sospetti: avevi selezionato 4, ma dove hai preso il numero? Nel referto parla di numerose, ma non descrive il numero.
IN GENERALE: Hai selezionato spesso NO a dati  che non sono descritti, a meno che tu non possa estrapolarli (ovvero per esempio quando danno sospetta infiltrazione prostata, allora MRF +) non devi delezionare nulla.
</t>
  </si>
  <si>
    <t>IN CORRISPONDENZA DDELLA PARETE ANTERO-LATERALE DX ( DALLE ORE 9 ALLE ORE 12) DEL RETTO ALTO SI APPREZZA NEOFORMAZIONE IPERINTENSA IN T2  AD ESTRINSECAZIONE POLIPOIDE NEL LUME DEL VISCERE  PRESSOCCHE COMPLETAMENTE OCCUPATO , E CHE INTERESSA LA PARETE A TUTTO SPESSORE CON UN FOCALE SCONFINAMENTO OLTRE LA PARETE ( S 5 IMA 6 ) . NEL MESORETTO E PRESENTE UN LINFONODO DI 6 MM VEROSIMILMENTE SEDE DI MALATTIA , ED UNO DI 3 MM SUL VERSANTE SIN .
NON ULTERIORI LINFOADENOMEGALIE LOCOREGIONALI.
STADIAZIONE T3 N1"</t>
  </si>
  <si>
    <t xml:space="preserve">SI SEGNALA ISPESSIMENTO PARIETALE CONCENTRICO DEL RETTO MEDIO-ALTO CHE DA CIRCA 4,5 CM DALLO SFINTERE ANALE INTERNO SI ESTENDE CRANIALMENTE PER CIRCA 5,5 CM, INVIA DIGITAZIONI NEL MESORETTO ED IN UN PUNTO RETRAE ANTERIORMENTE IL PERITONEO PELVICO.   
NEL MESORETTO E LUNGO I VASI EMORROIDARI SUPERIORI SONO PRESENTI LINFONODI IN NUMERO SUPERIORE A TRE, IL MAGGIORE DEL DIAMETRO DI CIRCA 9 MM ADESO ALLA FACIA PERIRETTALE ALLE ORE 8.   
IN SEDE EXTRA-MESORETTALE, OTTURATORIA DESTRA , CIRCA ALLE ORE 11 Ãˆ PRESENTE UN PICCOLO LINFONODO.  
PROSTATA LIEVEMENTE AUMENTATA DI DIMENSIONI (DIAMETRO TRASVERSO DI CIRCA 5 CM); SI SEGNALA DIFFUSA DISOMOGENEITÃ€ ED IPOINTENSITÃ€ DELLA PORZIONE PERIFERICA GHIANDOLARE CHE MERITA VALUTAZIONE CLINICA.    
MEZZI DI OSTEOSINTESI IN SEDE FEMORALE SINISTRA; ALTERAZIONI OSTEOSTRUTTURALI IN ESITI IN SEDE FEMORALE DESTRA.  
 CONCLUSIONI: STADIAZIONE RM T4AN2 MRF + PICCOLO LINFONODO EXTRAMESORETTALE </t>
  </si>
  <si>
    <t>A PREVALENTE SVILUPPO NEL RETTO ALTO CON ESTENSIONE CAUDO-CRANIALE PER CIRCA 9 CM E  LIMITE INFERIORE A CIRCA 7 CM DALLO SFINTERE ANALE INTERNO , A LIVELLO DEL RETTO MEDIO, SI SEGNALA GROSSOLANA FORMAZIONE DI MORFOLOGIA PAPILLARE A PREVALENTE SVILUPPO ENDOLUMINALE CON FINI DIGITAZIONI NEL GRASSO CIRCOSTANTE. 
NEL MESORETTO E LUNGO I VASI EMORROIDARI SUPERIORI SONO PRESENTI LINFONODI SOSPETTI IN NUMERO SUPERIORE A TRE, ALCUNI DEI QUALI ADESI ALLA FASCIA PERIRETTALE POSTERIORMENTE , IL MAGGIORE DEL DIAMETRO DI CIRCA 14 MM .
LINFONODI ASPECIFICI IN SEDE INGUINALE BILATERALE 
ESITI DI PREGRESSA ISTEROANNESSECTOMIA.
CONCLUSIONI: NEOPLASIA PAPILLARE DEL RETTO MEDIO-ALTO T3N2 MRF+"</t>
  </si>
  <si>
    <t>&lt;5 mm ma MRF +?</t>
  </si>
  <si>
    <t>SI CONFERMA LA PRESENZA IN CORRISPONDENZA DELLA PARETE LATERALE SINISTRA DEL RETTO MEDIO DI UN PROCESSO ESPANSIVO-INFILTRATIVO, CON ASPETTO VEGENTANTE ENDOLUMINALE, IPERINTENSO IN T2W, CON RESTRIZIONE DELLA DIFFUSIONE PROTONICA ED ENHANCEMENT DOPO INFUSIONE DI MDC. TALE LESIONE INTERESSA ALMENO 1/3 DELLA CICONFERENZA DEL VISCERE  E PRESENTA MARGINE INFERIORE A CIRCA 3CM DALL'OAI ED ESTENSIONE CRANIO-CAUDALE DI CIRCA 3,5CM
LA PARETE DEL RETTO Ãˆ INTERESSATA A TUTTO SPESSORE CON INIZIALI SEGNI DI SCONFINAMENTO NEL TESSUTO ADIPOSO PERIRETTALE (T3A). 
NEL PERIRETTO SONO PRESENTI DUE LINFONODI SOSPETTI, IL MAGGIORE DI CIRCA 6MMX 4MM LOCALIZZATO A MENO DI 3MM DALLA FASCIA PERIRETTALE. SI ASSOCIA QUALCHE ALTRO MILLIMETRICO LINFONODO PERIRETTALE."</t>
  </si>
  <si>
    <t xml:space="preserve">&lt;5 mm ma MRF +?
sÃ¬ esatto, perchÃ¨ la distanza &lt;1 mm.
Infiltrazione tessuto adiposo mesorettale: avevi messo NO, ma Ã¨ sÃ¬, &lt; 5 mm quindi T3ab
EMVI e altri reperti non selezionare nulla se non viene espressamente scritto qualcosa a riguardo.
</t>
  </si>
  <si>
    <t>IN CORRISPONDENZA DEL RETTO ALTO SI DOCUMENTA PATOLOGICO  ISPESSIMENTO PARIETALE ECCENTRICO CON ESTENSIONE DA ORE 1 A ORE 4, CHE PRESENTA ESTREMITÃ€ CAUDALE AÂ 11 CM DAL MAE E SI ESTENDE LONGITUDINALMENTE PER 29 MM, CON SPESSORE MASSIMO DI 12 MM, DA RIFERIRE ALLA NOTA LESIONE ETEROPLASTICA. ESSA DETERMINA INFILTRAZIONE DELLA TONACA MUSCOLARE, CON IRREGOLARE INTERFACCIA ANCHE CON IL TESSUTO ADIPOSO PERIVISCERALE ADIACENTE (&lt; 5 MM), GIUNGENDO AD UNA DISTANZA MINIMA DALLA FASCIA MESORETTALE DI 1 MM.
NON SI DOCUMENTANO LINFONODI PATOLOGICI IN SEDE PELVICA O INGUINALE BILATERALMENTE. 
VESCICA NORMODISTESA, CON PARETI LIEVEMENTE ISPESSITE COME PER VESCICA DA SFORZO. 
PROSTATA DI DIMENSIONI AI LIMITI SUPERIORI DELLA NORMA, CON INTENSITÃ€ DI SEGNALE DISOMOGENEA DELLA ZONA DI TRANSIZIONE COME PER IPERTROFIA PROSTATICA BENIGNA. 
COME DI NORMA LE VESCICHETTE SEMINALI. 
NON VERSAMENTO NELLO SCAVO PELVICO.
CONCLUSIONI: STADIAZIONE RM CT3B (MRF+); N0"</t>
  </si>
  <si>
    <t>dovrebbe T4b, nel referto scrivono T4a
INCONGRUENZA: Giusto, Ã¨ T4b. 
Non era mucinoso, vedi commenti inseriti in altre correzioni. Mettiamo anulare perchÃ¨, sebbene parla a un certo punto di vegetante, descrive un interessamento circonferenziale differente a varie altezze.
Depositi tumorali mesorettali: avevi selezionato sÃ¬ e poi non hai inserito un numero di depositi, ma i depositi non ci sono.
Altri reperti: avevi messo NO sia per lesioni focali sospette che per carcinosi, ma questo dato non viene descritto nel referto, quini non le selezioni e basta. Dato assente e non conosciuto.</t>
  </si>
  <si>
    <t>L'ODIERNO CONTROLLO CONFERMA LA PRESENZA DI UN PROCESSO ESPANSIVO-INFILTRATIVO IPERINTENSO NELLE SEQUENZE T2-DIPENDENTI, CON ASPETTO VEGENTANTE ENDOLUMINALE, CARATTERIZZATO DA RESTRIZIONE DEL SEGNALE NELLE SEQUENZE DWI/ADC E DISOMOGENA IMPREGNAZIONE CONTRASTOGRAFICA, IN CORRISPONDENZA DEL RETTO A CIRCA 65 MM DAL MARGINE ANALE ESTERNO. LA LESIONE MOSTRA SVILUPPO SEMICIRCONFERENZIALE NELLA PORZIONE PIÃ™ CAUDALE A LIVELLO DEL RETTO MEDIO/BASSO, IN CORRISPONDENZA DELLA PARETE ANTERIORE DEL VISCERE (DA ORE 10 AD ORE 3), OVE MOSTRA SPESSORE PARIETALE MASSIMO DI CIRCA 42 MM, ED OCCUPANDO L'INTERA CIRCONFERENZA NELLA SUA COMPONENTE PIÃ™ CRANIALE A LIVELLO DEL RETTO ALTO, CON ESTENSIONE CRANIO-CAUDALE COMPLESSIVA DI 69 MM CIRCA. LA PARETE DEL RETTO Ãˆ INTERESSATA A TUTTO SPESSORE IN SEDE ANTERIORE AD ORE 12, CON SEGNI DI SCONFINAMENTO NEL TESSUTO ADIPOSO PERIRETTALE E DELLA FASCIA MESORETTALE ANTERIORE, CON EVIDENZA DI QUOTA TISSUTALE IPERINTENSA CHE RAGGIUNGE LE VESCICHETTE SEMINALI. IN CORRISPONENDA DEL MARGINE ANALE ESTERNO, AD ORE 6-7 CIRCA, SI APPREZZA PICCOLA AREA DI ALTERATO SEGNALE IPERINTENSA IN T2, CHE MOSTRA RESTRIZIONE DELLA DIFFUSIVITÃ€ PROTONICA, DI CIRCA 11 MM, MERITEVOLE DI VALUTAZIONE CLINICA (LOCALIZZAZIONE DI MALATTIA?). 
IN SEDE MESORETTALE SI DOCUMENTANO ALCUNI LINFONDI SOSPETTI, I MAGGIORI IN SEDE MESORETTALE DESTRA DI ASPETTO GLOBOSO E DIMENSIONI DI 10 E 7 MM CIRCA. PIÃ™ PICCOLI LINFONODI IN SEDE EMORROIDARIA.
NON FALDE FLUIDE IN SEDE PELVICA. DISCRETA IMBIBIZIONE EDEMATOSA DEL PERI-RETTO POSTERIORE.
PROSTATA DI DIMENSIONI AUMENTATE (DT 58 MM), CON ALCUNE AREE SFUMATAMENTE IPOINTENSE NELLE SEQUENZE T2-DIPENDENTI A LIVELLO DELLA ZONA PERIFERICA IN SEDE MEDIO-BASALE SINISTRA, DA RIFERIRE IN PRIMA IPOTESI AD ESITI DI PROSTATITE. UTILE CONTROLLO.
VESCICA SOVRADISTESA (DT 10 CM), COME PER GLOBO VESCICALE, A PARETI REGOLARI. SI ASSOCIA DILATAZIONE DEL TRATTO DISTALE DI ENTRAMBI GLI URETERI NEL TRATTO PELVICO, DEL CALIBRO DI CIRCA 10 MM A SINISTRA E 9 MM A DESTRA. 
ERNIA INGUINALE DESTRA OCCUPATA DA TESSUTO ADIPOSO E MINIMA QUOTA FLUIDA. 
PICCOLO LIPOMA DI 22 MM NEL TESSUTO ADIPOSO SOTTOCUTENAO DELLA PARETE ADDOMINALE ANTERIORE. 
CONCLUSIONI: LESIONE ETEROFORMATIVA DEL RETTO MEDIO/ALTO CON INFILTRAZIONE DELLE VESCICHETTE SEMINALI E LINFONODI SOSPETTI IN SEDE MESORETTALE. STADIO T4A N1."</t>
  </si>
  <si>
    <t>{'altro': 'Vescichette seminali'}</t>
  </si>
  <si>
    <t>solido semianulare? linfonodi ok?</t>
  </si>
  <si>
    <t>IN CORRISPONDENZA DELLA PARETE LATERALE DESTRA DEL RETTO MEDIO , DA CIRCA 7 CM DALLO SFINTERE ANALE INTERNO CON ESTENSIONE CRANIALE PER CIRCA 2 CM SI SEGNALA FORMAZIONE AGGETTANTE CHE OCCUPA 2/4 DELLA CIRCONFERENZA DEL LUME ED APPARE CONFINATA ALLA PARETE.
NEL MESORETTO DI DESTRA E PRESENTE UN LINFONODO ROTONDEGGINATE CON ASSE CORTO DI CIRCA 8 MM , ADESO ALLA FASCIA PERIRETTALE ALLE ORE 9.
IN SEDE OTTURATORIA- ILIACA INTERNA DESTRA SONO PRESENTI ALCUNI LINFONODI CON ASSE CORTO FINO A 6 MM.
IN SEDE OTTURATORIA SINISTRA E PRESENTE UN LINFONODO CON ASSE CORTO DI CIRCA 7 MM.
LA PROSTATA E AUMENTATA DI DIMENSIONI, DIAMETRO TRASVERSO CIRCA 5,4 CM PER LA PRESENZA DI UNA FORMAZIONE ADENOMATOSA CENTRALE CHE SOLLEVA IL PAVIMENTO VESCICALE
DIFFUSO ISPESSIMENTO DELLE PARETI VESCICALI.
MINIMA FALDA FLUIDA IN PELVI 
IN CORRISPONDENZA DELL'ALA ILIACA DI SINISTRA, E PRESENTE ESTESA AREA DI ALTERATO SEGNALE CHE NON COINVOLGE L'ARTICOLAZIONE SACRO-ILIACA OMOLATERALE, MA CHE SI ESTENDE CAUDALMENTE ALL'ACETABOLO, COINVOLGENDO SOPRATTUTTO LA COLONNA POSTERIORE. IL COMPORTAMENTO DI SEGNALE NELLA MAPPA ADC E NELLE IMMAGINI T2 NON FANNO PROPENDERE PER UNA LESIONE AGGRESSIVA. 
CONCLUSIONI: PICCOLA NEOPLASIA DEL RETTO MEDIO . LINFONODI NEL MESORETTO ED IN SEDE LATERALE.</t>
  </si>
  <si>
    <t>solido semianulare? linfonodi ok?
Per i criteri che utilizziamo l'unico linfonodo sospetto Ã¨ il laterale otturatorio con asse corto di 7 mm. Non avevi messo il numero dei LN sospetti (1).
Da parete laterale destra puoi estrapolarti ore 6-12
"APPARE CONFINATA ALLA PARETE": T1-2</t>
  </si>
  <si>
    <t>IN CORRISPONDENZA DEL RETTO MEDIO-ALTO , DA CIRCA 6 CM DALLO SFINTERE ANALE INTERNO CON ESTENSIONE CRANIALE PER CIRCA 5 CM SI SEGNALA ISPESSIMENTO PARIETALE CIRCONFERENZIALE CHE INVIA DIGITAZIONI POLIPOIDI NEL MESORETTO CHE INGLOBANO I VASI EMORROIDARI E RETRAE IN UN PUNTO IL PERITONEO.
UN ALTRO DEPOSITO TUMORALE CHE INGLOBA I VASI EMORROIDARI Ãˆ PRESENTE PIU' CRANIALMENTE LUNGO I VASI EMORROIDARI SUPERIORI.
LINFONODI SOSPETTI NEL MESORETTO IN NUMERO SUPERIORE A TRE , UNO DEI QUALI ADESO ALLA FASCIA PERIRETTALE ALLE ORE 8 , ED IN SEDE LATERALE A SINISTRA, I MAGGIORI CON ASSE CORTO DI CIRCA 7 MM.
ALCUNI DIVERTICOLI IN CORRISPONDENZA DEL SIGMA .
CONCLUSIONI: STADIAZIONE RM T4AN2 MRF+ EXTRAMESORETTALE  EMVI</t>
  </si>
  <si>
    <t>['mesorettali', 'iliaci_interni', 'otturatori']</t>
  </si>
  <si>
    <t>RM ADDOME INFERIORE (S/C MDC)
TECNICA
ESAME ESEGUITO IMPIEGANDO SEQUENZE TSE, DWI VIBE SECONDO PIANI MULTIPLI, PRIMA E DOPO SOMMINISTRAZIONE EV DI MDC (PROHANCE, 14 ML).
DESCRIZIONE
SI DOCUMENTA ISPESSIMENTO PARIETALE VEGETANTE, DI SIGNIFICATO ETEROFORMATIVO, LOCALIZZATO NEL RETTO BASSO ED ESTESO AL CANALE ANALE, CON ESTREMITA DISTALE A CIRCA 27 MM DALL' OAE E DIAMETRO CRANIO-CAUDALE DI CIRCA 49 MM. LA LESIONE MOSTRA ESTENSIONE MASSIMA DA ORE 3 AD ORE 12 SUL PIANO ASSIALE (SPESSORE MAX 19 MM AD ORE 9) ED AGGETTA NEL LUME DETERMINANDONE SUBSTENOSI, INFILTRA LO SFINTERE ANALE INTERNO SENZA EVIDENTI SEGNI DI SCONFINAMENTO NELLO SPAZIO INTERSFINTERICO NE NELLO SFINTERE ANALE ESTERNO. TALE ISPESSIMENTO E CARATTERIZZATO DA TENUE IPERINTENSITA NELLE SEQUENZE T2-DIP, RESTRIZIONE DELLA DIFFUSIVITA PROTONICA E PRECOCE IMPREGNAZIONE CONTRASTOGRAFICA.
NEL MESORETTO SONO PRESENTI DUE LINFONODI CON MORFOLOGIA ROTONDEGGIANTE, MARGINI NETTI, SEGNALE OMOGENEO ED ASSE CORTO RISPETTIVAMENTE DI 5 E 3 MM. ULTERIORI LINFONODI SONO LOCALIZZATI LUNGO I VASI EMORROIDARI (ALMENO 3, IL MAGGIORE CON ASSE CORTO DI 5 MM), IN SEDE ILIACA INTERNA DESTRA (ASSE CORTO 7 MM), OTTURATORIA DESTRA (ASSE CORTO 5 E 6 MM).
NON ALTERAZIONI DELLA VESCICA. NON IDROURETERONEFROSI. 
PROSTATA DI DIMENSIONI AUMENTATE (DT 50 MM). 
NON VERSAMENTO NELLO SCAVO PELVICO. 
IN VIA COLLATERALE: ECTASIA DEL PLESSO VENOSO PRESACRALE; DISTENSIONE FLUIDA DELLA BORSA DELL'ILEO-PSOAS A SN (38X13 MM), CON PRESENZA DI MULTIPLI MINUTI CORPI LIBERI ALL'INTERNO, DA CORRELARE AL DATO ANAMNESTICO.</t>
  </si>
  <si>
    <t>RM ADDOME INFERIORE (S/C MDC)
ESAME ESEGUITO SECONDO PIANI MULTIPLI, MEDIANTE SEQUENZE T1- E T2- DIPENDENTI E DI DWI, COMPLETATO CON SOMMINISTRAZIONE DI MEZZO DI CONTRASTO (PROHANCE, 20 ML).
NEL RETTO MEDIO, A CIRCA 8,7 CM DALLA GIUNZIONE ANO-RETTALE, SI DOCUMENTA UN ISPESSIMENTO PARIETALE VEGETANTE, DI NATURA ETEROFORMATIVA, ESTESO CRANIALMENTE PER CIRCA 24 MM E SUL PIANO ASSIALE DALLE ORE 3 ALLE 10. LA LESIONE MOSTRA TENUE IPERINTENSITA NELLE SEQUENZE T2-DIPENDENTI, RESTRIZIONE DELLA DIFFUSIONE PROTONICA E PRECOCE IMPREGNAZIONE CONTRASTOGRAFICA.
LA LESIONE NON MOSTRA CHIARI SEGNI DI SCONFINAMENTO EXTRAPARIETALE. SUL VERSANTE PARIETALE POSTERIORE DEL RETTO A TALE LIVELLO SONO PRESENTI MINUTE SPICULATURE IPOINTENSE IN T2, PRIVE DI ENHANCEMENT E RESTRIZIONE DELLA DIFFUSIONE PROTONICA, AGGETTANTI NEL MESORETTO.
SI APPREZZANO ALMENO QUATTRO LINFONODI LUNGO I VASI EMORROIDARI, I MAGGIORI CON ASSE CORTO DI 6 MM (CON SEGNALE LIEVEMENTE DISOMOGENEO NELLE SEQUENZE T2), 5 MM E DI 3 MM, CON ASPETTO OVOIDALE E A MARGINI NETTI (IMG CHIAVE). LINFONODO CON ASSE CORTO DI 5 MM IN SEDE OTTURATORIA DX.
NEI LIMITI LA VESCICA. 
PROSTATA DI DIMENSIONI LIEVEMENTE AUMENTATE (DT 47 MM)
NON VERSAMENTO LIBERO.</t>
  </si>
  <si>
    <t>RM ADDOME INFERIORE
ESAME ESEGUITO MEDIANTE SEQUENZE FSE, DWI E VIBE, SECONDO PIANI MULTIPLI, PRIMA E DURANTE SOMMINISTRAZIONE EV DI MDC PARAMAGNETICO (PROHANCE, 14 ML).  
A CIRCA 6 CM DALLA GIUNZIONE ANO-RETTALE, IN CORRISPONDENZA DELLA PARETE POSTERO-LATERALE DESTRA DEL RETTO MEDIO SI DOCUMENTA ISPESSIMENTO PARIETALE VEGETANTE, CARATTERIZZATO DA SFUMATA IPERINTENSITA NELLE SEQ. T2-DIP., RESTRIZIONE DELLA DIFFUSIONE PROTONICA E PRECOCE IMPREGNAZIONE CONTRASTOGRAFICA, DI NATURA ETEROFORMATIVA, CHE OCCUPA 3/4 DELLA CIRCONFERENZA DEL LUME  (DA ORE 3 A ORE 12) E CHE SI ESTENDE CRANIALMENTE PER CIRCA 5 CM, CON SPESSORE MASSIMO DI CIRCA 18 MM AD ORE 7. 
TALE ISPESSIMENTO INFILTRA LA PARETE RETTALE POSTERO-LATERALE DESTRA A TUTTO SPESSORE E SEMBRA ESTENDERSI NEL TESSUTO ADIPOSO MESORETTALE ADIACENTE PER 3 MM, A CIRCA 12 MM DALLA FASCIA MESORETTALE ADIACENTE (IMG CHIAVE). A LIVELLO DELL'ESTREMITA CRANIALE DELLA SUDDETTA FORMAZIONE, LUNGO IL PROFILO PARIETALE RETTALE POSTERIORE, SI APPREZZANO ALCUNE STRIE LINEARI IPOINTENSE IN T2 AGGETTARE NEL MESORETTO.
SI APPREZZANO MULTIPLI LINFONODI OVALARI, A MARGINI NETTI, DUE CON ASSE CORTO DI 5 MM E ALMENO 3 CON ASSE CORTO MASSIMO DI 4 MM LUNGO I VASI EMORROIDARI SUPERIORI E MILLIMETRICI NEL TESSUTO ADIPOSO MESORETTALE (ASSE CORTO MASSIMO DI 2 MM).
LINFONODI CON ASSE CORTO &lt;1CM IN SEDE ILIACA ESTERNA SN (ASSE CORTO DI 5 MM)
VESCICA POCO DISTESA, MAL VALUTABILE.
NON VERSAMENTO LIBERO NELLO SCAVO PELVICO.</t>
  </si>
  <si>
    <t>sono presenti depositi tumorali ma 5 linfonodi sospetti</t>
  </si>
  <si>
    <t>ESAME ESEGUITO MEDIANTE SEQUENZE FSE, DWI E VIBE SENZA E CON SOMMINISTRAZIONE IV DI MDC PARAMAGNETICO (PROHANCE, 10 ML), SECONDO PIANI MULTIPLI, PREVIA DISTENSIONE DEL RETTO CON GEL.
SI CONFERMA LA PRESENZA IN CORRISPONDENZA DELLA PARETE LATERALE SINISTRA DEL RETTO MEDIO DI UN ISPESSIMENTO PARIETALE DI SIGNIFICATO ETEROFORMATIVO, IPERINTENSO NELLE SEQUENZE T2-DIPENDENTI, CON RESTRIZIONE DELLA DIFFUSIONE PROTONICA ED ENHANCEMENT DOPO MDC., CON ASPETTO IN PARTE VEGENTANTE ENDOLUMINALE.
TALE LESIONE INTERESSA ALMENO LA META DELLA CICONFERENZA DEL VISCERE (DA ORE 6 A ORE 12) E PRESENTA MARGINE INFERIORE A CIRCA 8 CM DALLO SAI ED ESTENSIONE CRANIO-CAUDALE DI CIRCA 3 CM.
ANTERIORMENTE IL SUDDETTO ISPESSIMENTO PATOLOGICO GIUNGE IN STRETTA ADIACENZA CON LA RIFLESSIONE PERITONEALE.
DALLA PARETE LATERALE SN, IN CORRISPONDENZA DELLA LESIONE SUDDETTA, (ORE 3) SI APPREZZA UNA PROPAGGINE DI TESSUTO CHE SCONFINA NEL TESSUTO ADIPOSO MESORETTALE PER CIRCA 15 MM; IN STRETTA ADIACENZA SI APPREZZA UNA FORMAZIONE A MORFOLOGIA NODULARE A MARGINI IRREGOLARI, IPOINTENSA IN T2, CON RESTRIZIONE DELLA DIFFUSIONE PROTONICA E PRECOCE CE, DI 8X7 MM (SE6-IMG7), IN ADIACENZA ALLA FASCIA MERETTALE POSTERIORE-SINISTRA, SOSPETTA PER DEPOSITO TUMORALE; ULTERIORE FORMAZIONE NODULARE, DEL MEDESIMO ANALOGO SIGNIFICATO, E LOCALIZZATA CRANIALMENTE ALLA SUDDETTA ALTERAZIONE E PRESENTA LE MEDISIME CARATTERISTICHE DI SEGNALE, DI 11X9 MM, ADESA ALLA FASCIA MESORETTALE LATERALE SN.
LUNGO I VASI EMORROIDARI SUPERIORI A SN SI EVIDENZIA PRESENZA DI TESSUTO IPOINTENSO IN T2 CARATTERIZZATO DA RESTRIZIONE DELLA DIFFUSIONE PROTONICA DI 12 X6 MM (SE3-IMG13 - IMG CHIAVE; LINFONOADENOPATIA? DEPOSITO TUMORALE?).
ALMENO QUATTRO LINFONODI CON ASSE CORTO MASSIMO DI 5 MM, A MARGINI REGOLARI, INTENSITA DI SEGNALE OMOGENEO, NEL TESSUTO ADIPOSO MESORETTALE POSTERIORE E LATERALE SN.
LINFONODI CON ASSE CORTO &lt;1CM IN SEDE ILIACA ESTERNA BILATERALE E OTTURATORIA DX (ASSE CORTO MAX DI 4 MM).
FALDA FLUIDA NELLO SCAVO PELVICO.
IN VIA COLLATERALE SI APPREZZANO ALCUNE FORMAZIONI OVALARI IN SEDE ANNESSIALE SN, LA MAGGIORE DI 40X33 MM, CON LIVELLO FLUIDO-EMATICO NEL CONTESTO, MERITEVOLI DI VALUTAZIONE ECOGRAFICA MIRATA E VIDEAT GINECOLOGICO.</t>
  </si>
  <si>
    <t>{'altro': 'lungo i vasi emorroidari superiori.', 'vasi_extra_mesorettali': False}</t>
  </si>
  <si>
    <t>A LIVELLO DEL RETTO MEDIO-ALTO, A CIRCA 10 CM DAL MARGINE ANALE ESTERNO, SI DOCUMENTA GROSSOLANO ISPESSIMENTO PARIETALE CHE INTERESSA CIRCONFERENZIALMENTE IL VISCERE IN SEDE CENTRALE (CON ASPETTO STENOTICO) ED I 3/4 DELLA CIRCONFERENZA IN SEDE MARGINALE SUPERIORE ED INFERIORE, CON SPESSORE MASSIMO DI 27 MM ED ESTENSIONE LONGITUDINALE DI CIRCA 65 MM. L'ISPESSIMENTO E CARATTERIZZATO DA SEGNALE IPOINTENSO NELLE IMMAGINI T2-DIPENDENTI E MARCATA RESTRIZIONE DELLA DIFFUSIONE, CON SIGNIFICATO PATOLOGICO, E MOSTRA ESTESI SEGNI DI ESTENSIONE EXTRA-PARIETALE NEL SUO III MEDIO LUNGO IL VERSANTE ANTERIO-LATERALE SINISTRO (CON GROSSOLANO GETTONE SOLIDO DI 24 MM) OVE IL TESSUTO PATOLOGICO RAGGIUNGE ED INFILTRA LA FASCIA MESORETTALE E LA RIFLESSIONE PERITONEALE. A TALE LIVELLO IL TESSUTO GIUNGE IN ADIACENZA AL PROFILO POSTERIORE DEL CORPO UTERINO, CON APPARENTE CONSERVATO PIANO DI CLIVAGGIO ADIPOSO. 
MULTIPLI LINFONODI (&gt; 6) A MORFOLOGIA ROTONDEGGIANTE ED ASSE CORTO MASSIMO DI 6 MM IN SEDE MESORETTALE E LUNGO I VASI EMORROIDARI.
PICCOLI LINFONODI CON ASSE CORTO SUB-CENTIMETRICO IN SEDE ILIACA COMUNE ED ILIACA ESTERNA BILATERALMETE, DI SIGNIFICATO ASPECIFICO.
UTERO LATERO-DEVIATO A SINISTRA, CON DIAMERO CERVICO-FUNDICO DI 65 MM, DIAMTERO ANTERO-POSTERIORE AL FONDO DI 27 MM E DIAMETRO LATERO-LATERALE DI 27 MM, CON DISCRETO E DISOMOGENEO ISPESSIMENTO DELLA RIMA ENDOMETRIALE (9 MM), MERITEVOLE DI VALUTAZIONE GINECOLOGICA.
VESCICA DISCRETAMENTE DISTESA, ESENTE DA LESIONI PARIETALI E DA INCLUSI ENDOLUMINALI.
NON VERSAMENTO LIBERO NELLO SCAVO PELVICO.</t>
  </si>
  <si>
    <t xml:space="preserve">vanno bene sfinteri? m1?
No, devi mettere Sfintere interno + Piano intersfinterico, perchÃ¨ ti ha detto che Ã¨ infiltrato l'ano (sfintere interno) e piano intersfinterico. Non ti ha detto che Ã¨ infiltrato lo sfintere esterno.
PerchÃ¨ M1? Non ci sono metastasi.
Distanza margine inferiore-OAI (mm) devi mettere 0, perchÃ¨ infiltra l'ano.
Non avevi messo numero depositi (1)
Linfonodi sospetti dovevi metterli a regionali: Inguinali (Per lesioni estese sotto la linea dentata) come in questo caso.
</t>
  </si>
  <si>
    <t xml:space="preserve">
IN CORRISPONDENZA DELLA PARETE POSTERO LATERALE DESTRA  DEL RETTO BASSO Ãˆ PRESENTE FORMAZIONE AGGETTANTE CHE OCCUPA DUE QUARTI DELLA CIRCONFERENZA DEL LUME,  CON UN GETTONE INFILTRA IL MUSCOLO ELEVATORE DELL'ANO DI DESTRA  E SI ESTENDE AL TERZO SUPERIORE DEL CANALE ANALE DOVE INTERESSA IL PIANO INTERSFINTERIALE .
IN CORRISPONDENZA DEL MESORETTO DI DESTRA Ãˆ PRESENTE UN DEPOSITO TUMORALE DI CIRCA 14 MM CHE INGLOBA I VASI EMORROIDARI 
IN SEDE INGUINALE DESTRA Ãˆ PRESENTE UN LINFONODO SOSPETTO CON ASSE CORTO DI CIRCA 2 CM.
PICCOLI LINFONODI IN SEDE OTTURATORIA BILATERALE 
ESITI DI PREGRESSO INTERVENTO DI ISTEROANNESSIECTOMIA.
CONCLUSIONI: NEOPLASIA DEL RETTO BASSO T4 CON ESTENSIONE AL CANALE ANALE, DEPOSITO TUMORALE NEL MESORETTO, EMVI. E LINFONODO INGUINALE DESTRO.</t>
  </si>
  <si>
    <t>['inguinali_sotto_dentata']</t>
  </si>
  <si>
    <t>Anche in questo caso non mettere mucinoso. Purtroppo in molti referti troverai il segnale T2 descritto come "iperintenso" ma volendo intendere il segnale "intermedio". A meno che non venga chiaramente descritto come "marcatamente Iperintenso in T2" oppure come "mucinoso" non lo mettere.
La lesione viene descritta come interessare circonferenzialmente il viscere, perciÃ² metti anulare e h12-12.
Per i linfonodi sospetti dovevi inserire "numero non conosciuto"
Oltre ai mesorettali dovevi inserire anche gli emorroidari superiori (rettali superiori)
Non avevi inserito il numero dei depositi (1)</t>
  </si>
  <si>
    <t>SI CONFERMA LA PRESENZA IN CORRISPONDENZA DEL RETTO ALTO - GIUNZIONE RETTO-SIGMOIDEA DI UN PROCESSO ESPANSIVO-INFILTRATIVO STENOSANTE IPERINTENSO IN T2W, CON RESTRIZIONE DELLA DIFFUSIONE PROTONICA ED ENHANCEMENT DOPO INFUSIONE DI MDC; TALE LESIONE CON EPICENTRO A SINISTRA INTERESSA CIRCONFERENZIALMENTE IL VISCERE CON MARGINE INFERIORE A CIRCA 7CM DALL'OAI ED ESTENSIONE CRANIO-CAUDALE DI CIRCA 10CM.
LA PARETE DEL RETTO Ãˆ INTERESSATA A TUTTO SPESSORE; SPECIE A SINISTRA SI APPREZZA AMPIO SCONFINAMENTO NEL TESSUTO ADIPOSO PERIRETTALE CON ESTESO CONTATTO CON LA FASCIA PERIRETTALE E CON LA RIFLESSIONE PERITONEALE. POSTERIORMENTE LA MASSA GIUNGE A CONTATTO CON LA FASCIA PRESACRALE.
IN SEDE PERIRETTALE DESTRA SI OSSERVA UN GROSSO NODULO DEL DIAMETRO DI CIRCA 22MM.
NEL PERIRETTO E IN SEDE EMORROIDARIA SUPERIORE SI APPREZZANO MULTIPLI LINFONODI, IL MAGGIORE A DESTRA DI CIRCA 12MM.
STADIAZIONE RM: T4 - N+.</t>
  </si>
  <si>
    <t>metto mucinoso o solido-polipide?
No, non Ã¨ chiaramente descritto come mucisoso. Consideriamo il mucinoso solo quando viene espressamente scritto, oppure se il segnale T2 viene descritto come "marcatamente iperintenso".
Va bene solido polipoide perchÃ¨ descrive una "prevalente" crescita vegetante.</t>
  </si>
  <si>
    <t>SI DOCUMENTA UN ISPESSIMENTO FOCALE DELLA PARETE LATERALE DI DESTRA DEL RETTO MEDIO, CHE APPARE IPERINTENSA NELLE IMMAGINI T2-DIPENDENTI, CON IMPREGNAZIONE DI CONTRASTO E RESTRIZIONE DEL COEFFICIENTE DI DIFFUSIONE, CON UN'ESTENSIONE CRANIO-CAUDALE DI 52 MM, CON PREVALENTE CRESCITA VEGETANTE ALL'INTERNO DEL LUME DEL VISCERE. FINEMENTE IRREGOLARE RISULTA L'INTERFACCIA TRA LA PARETE DEL RETTO MEDIO, SEDE DEL SUDDETTO ISPESSIMENTO, ED IL TESSUTO ADIPOSO PERIRETTALE, MA NON SI DOCUMENTANO TUTTAVIA MACROSCOPICI SEGNI DI INFILTRAZIONE DEL TESSUTO ADIPOSO PERIRETTALE. 
CONSERVATO RISULTA IL PIANO DI CLIVAGGIO CON LA FASCIA MESORETTALE.
SONO PRESENTI MULTIPLI, PICCOLI LINFONODI DEL DIAMETRO ASSIALE MINIMO INFERIORE A 5 MM NEL TESSUTO ADIPOSO PERIRETTALE. UN LINFONODO, DEL DIAMETRO ASSIALE MINIMO INFERIORE A 5 MM, SI OSSERVA ANCHE LUNGO I VASI EMORROIDARI SUPERIORI. NON SI DOCUMENTANO LINFOADENOMEGALIE IN SEDE OTTURATORIA O LUNGO I VASI ILIACI, BILATERALMENTE. 
L'UTERO APPARE ANTIVERSO - FLESSO, DI DIMENSIONI RIDOTTE, COME PER INVOLUZIONE POST-MENOPAUSALE. NELLA NORMA LO SPESSORE DELL'ENDOMETRIO. NON AREE FOCALI DI ALTERATA INTENSITÃ€ DI SEGNALE DELLA CERVICE DELL'UTERO. 
NELLA NORMA LO SPESSORE E L'INTENSITÃ€ DI SEGNALE DELLE PARETI DELLA VAGINA E DEI FORNICI VAGINALI.
NON LESIONI ESPANSIVE IN SEDE ANNESSIALE, BILATERALMENTE, OVE SI OSSERVANO MULTIPLI FOLLICOLI FUNZIONALI.
NON LINFOADENOMEGALIE PELVICHE OD INGUINALI, NÃ‰ VERSAMENTO NEL CAVO DI DOUGLAS.
VESCICA APPARE POCO DISTESA, ESENTE DA ALTERAZIONI PARIETALI O ENDOLUMINALI.</t>
  </si>
  <si>
    <t>distanza da OAI va bene?</t>
  </si>
  <si>
    <t>NEL RETTO MEDIO, A CIRCA 7 CM DAL MARGINE ANALE E 2,5 CM DALLA LINEA ANO-PETTINATA, SI METTE IN EVIDENZA LESIONE NEOFORMATA VEGETANTE A LARGA BASE D'IMPIANTO, MARGINI IRREGOLARI ED APPARENTEMENTE ULCERATI, CON DIAMETRI SUL PIANO ASSIALE DI 38X15 MM ED ESTENSIONE LONGITUDINALE DI 45 MM, LOCALIZZATA IN CORRISPONDENZA DELLA PARETE POSTERO-LATERALE DI SINISTRA. LA NEOFORMAZIONE INFILTRA A TUTTO SPESSORE LA PARETE RETTALE CON INIZIALI SEGNI DI ESTENSIONE EXTRA-PARIETALE COME PER LESIONE T3A; NEL SUO TRATTO INFERIORE CONTRAE STRETTI RAPPORTI DI CONTIGUITÃ€ CON I FASCI CRANIALI DEL M. ELEVATORE DELL'ANO DI SINISTRA. NON RILEVABILI SEGNI DI MACROSCOPICO COINVOLGIMENTO DELLA FASCIA MESORETTALE.
SI RILEVANO LINFOADENOPATIE ROTONDEGGIANTI IN SEDE MESORETTALE POSTERIORE (5 MM) LUNGO IL DECORSO DEI VASI EMORROIDARI SUPERIORI E IN SEDE PRESACRALE (DM 11 MM);ALTRA LINFOADENOPATIA IN SEDE OTTURATORIA INTERNA DESTRA (11 MM); NON VALUTABILE LA REGIONE ILIACO-OTTURATORIA INTERNA DI SINISTRA PER VIA DEGLI ARTEFATTI SOPRA DESCRITTI.
VESCICA IPODISTESA. OVAIO DI SINISTRA NON VISUALIZZABILE; PICCOLA FORMAZIONE CISTICA A CARICO DELL'OVAIO DESTRO (10 MM); NULLA DA SEGNALARE A CARICO DELL'UTERO.
NON VERSAMENTO LIBERO A CARICO DELLO SCAVO PELVICO.</t>
  </si>
  <si>
    <t>['mesorettali', 'sacrali', 'otturatori']</t>
  </si>
  <si>
    <t>IlariaNacci</t>
  </si>
  <si>
    <t>Barbaro</t>
  </si>
  <si>
    <t>dsfgsfsgf</t>
  </si>
  <si>
    <t>RM SCAVO PELVICO (S/C MDC)
Esame eseguito mediante sequenze frFSE, DWI, FIESTA e LAVA, prima e dopo somministrazione ev di mdc
(Prohance 0.2ml/Kg). Valutazione tenendo conto del precedente controllo TC del 21.09.2022.
L'odierno controllo conferma la presenza di un processo espansivo-infiltrativo iperintenso nelle sequenze
T2-dipendenti, con aspetto vegentante endoluminale, caratterizzato da restrizione del segnale nelle sequenze DWI/
ADC e disomogena impregnazione contrastografica, in corrispondenza del retto a circa 65 mm dal margine anale
esterno. La lesione mostra sviluppo semicirconferenziale nella porzione piÃ¹ caudale a livello del retto medio/basso, in
corrispondenza della parete anteriore del viscere (da ore 10 ad ore 3), ove mostra spessore parietale massimo di circa
42 mm, ed occupando l'intera circonferenza nella sua componente piÃ¹ craniale a livello del retto alto, con estensione
cranio-caudale complessiva di 69 mm circa. La parete del retto Ã¨ interessata a tutto spessore in sede anteriore ad ore
12, con segni di sconfinamento nel tessuto adiposo perirettale e della fascia mesorettale anteriore, con evidenza di
quota tissutale iperintensa che raggiunge le vescichette seminali. In corrisponenda del margine anale esterno, ad ore
6-7 circa, si apprezza piccola area di alterato segnale iperintensa in T2, che mostra restrizione della diffusivitÃ 
protonica, di circa 11 mm, meritevole di valutazione clinica (localizzazione di malattia?).
In sede mesorettale si documentano alcuni linfondi sospetti, i maggiori in sede mesorettale destra di aspetto globoso e
dimensioni di 10 e 7 mm circa. PiÃ¹ piccoli linfonodi in sede emorroidaria.
Non falde fluide in sede pelvica. Discreta imbibizione edematosa del peri-retto posteriore.
Prostata di dimensioni aumentate (DT 58 mm), con alcune aree sfumatamente ipointense nelle sequenze
T2-dipendenti a livello della zona periferica in sede medio-basale sinistra, da riferire in prima ipotesi ad esiti di
prostatite. Utile controllo.
Vescica sovradistesa (DT 10 cm), come per globo vescicale, a pareti regolari. Si associa dilatazione del tratto distale
di entrambi gli ureteri nel tratto pelvico, del calibro di circa 10 mm a sinistra e 9 mm a destra.
Ernia inguinale destra occupata da tessuto adiposo e minima quota fluida.
Piccolo lipoma di 22 mm nel tessuto adiposo sottocutenao della parete addominale anteriore.
CONCLUSIONI: Lesione eteroformativa del retto</t>
  </si>
  <si>
    <t>N1c</t>
  </si>
  <si>
    <t>interno_piano_esterno</t>
  </si>
  <si>
    <t>[object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</si>
</sst>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xf numFmtId="14" fontId="0" fillId="0" borderId="0" xfId="0" applyNumberFormat="1" applyAlignmen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74"/>
  <sheetViews>
    <sheetView tabSelected="1" workbookViewId="0">
      <selection activeCell="AL8" sqref="AL8"/>
    </sheetView>
  </sheetViews>
  <sheetFormatPr baseColWidth="10" defaultColWidth="8.83203125" defaultRowHeight="15" x14ac:dyDescent="0.2"/>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220</v>
      </c>
      <c r="B2" t="s">
        <v>43</v>
      </c>
      <c r="C2" t="s">
        <v>44</v>
      </c>
      <c r="D2" t="s">
        <v>45</v>
      </c>
      <c r="F2">
        <v>35426899</v>
      </c>
      <c r="G2" t="s">
        <v>46</v>
      </c>
      <c r="H2" s="1">
        <v>27657</v>
      </c>
      <c r="I2" s="2" t="s">
        <v>47</v>
      </c>
      <c r="J2" s="2" t="s">
        <v>48</v>
      </c>
      <c r="K2" t="s">
        <v>49</v>
      </c>
      <c r="Q2">
        <v>49</v>
      </c>
      <c r="R2">
        <v>50</v>
      </c>
      <c r="S2" t="s">
        <v>50</v>
      </c>
      <c r="V2" t="s">
        <v>51</v>
      </c>
      <c r="W2" t="s">
        <v>52</v>
      </c>
      <c r="X2" t="b">
        <v>1</v>
      </c>
      <c r="Y2" t="s">
        <v>53</v>
      </c>
      <c r="Z2" t="s">
        <v>53</v>
      </c>
      <c r="AB2" t="s">
        <v>45</v>
      </c>
      <c r="AD2" t="s">
        <v>54</v>
      </c>
      <c r="AE2" t="s">
        <v>54</v>
      </c>
      <c r="AF2" t="s">
        <v>54</v>
      </c>
      <c r="AH2" t="s">
        <v>55</v>
      </c>
      <c r="AI2" t="s">
        <v>55</v>
      </c>
      <c r="AJ2">
        <v>8</v>
      </c>
      <c r="AK2">
        <v>4</v>
      </c>
      <c r="AL2" t="s">
        <v>56</v>
      </c>
      <c r="AM2" t="s">
        <v>57</v>
      </c>
      <c r="AN2" t="s">
        <v>55</v>
      </c>
      <c r="AO2">
        <v>0</v>
      </c>
      <c r="AP2" t="s">
        <v>55</v>
      </c>
      <c r="AQ2" t="s">
        <v>58</v>
      </c>
    </row>
    <row r="3" spans="1:43" x14ac:dyDescent="0.2">
      <c r="A3" s="2">
        <v>219</v>
      </c>
      <c r="B3" s="2" t="s">
        <v>43</v>
      </c>
      <c r="C3" s="2" t="s">
        <v>44</v>
      </c>
      <c r="D3" s="2" t="s">
        <v>45</v>
      </c>
      <c r="E3" s="2"/>
      <c r="F3" s="2">
        <v>35430586</v>
      </c>
      <c r="G3" s="2" t="s">
        <v>59</v>
      </c>
      <c r="H3" s="3">
        <v>17019</v>
      </c>
      <c r="I3" s="2"/>
      <c r="J3" s="2" t="s">
        <v>60</v>
      </c>
      <c r="K3" s="2" t="s">
        <v>61</v>
      </c>
      <c r="L3" s="2"/>
      <c r="M3" s="2"/>
      <c r="N3" s="2"/>
      <c r="O3" s="2"/>
      <c r="P3" s="2"/>
      <c r="Q3" s="2">
        <v>85</v>
      </c>
      <c r="R3" s="2">
        <v>50</v>
      </c>
      <c r="S3" s="2" t="s">
        <v>62</v>
      </c>
      <c r="T3" s="2"/>
      <c r="U3" s="2"/>
      <c r="V3" s="2" t="s">
        <v>63</v>
      </c>
      <c r="W3" s="2" t="s">
        <v>52</v>
      </c>
      <c r="X3" s="2" t="b">
        <v>0</v>
      </c>
      <c r="Y3" s="2" t="s">
        <v>53</v>
      </c>
      <c r="Z3" s="2" t="s">
        <v>64</v>
      </c>
      <c r="AA3" s="2"/>
      <c r="AB3" s="2" t="s">
        <v>45</v>
      </c>
      <c r="AC3" s="2" t="s">
        <v>65</v>
      </c>
      <c r="AD3" s="2" t="s">
        <v>66</v>
      </c>
      <c r="AE3" s="2" t="s">
        <v>54</v>
      </c>
      <c r="AF3" s="2" t="s">
        <v>55</v>
      </c>
      <c r="AG3" s="2" t="s">
        <v>67</v>
      </c>
      <c r="AH3" s="2" t="s">
        <v>55</v>
      </c>
      <c r="AI3" s="2" t="s">
        <v>55</v>
      </c>
      <c r="AJ3" s="2"/>
      <c r="AK3" s="2">
        <v>4</v>
      </c>
      <c r="AL3" s="2" t="s">
        <v>68</v>
      </c>
      <c r="AM3" s="2" t="s">
        <v>57</v>
      </c>
      <c r="AN3" s="2"/>
      <c r="AO3" s="2">
        <v>0</v>
      </c>
      <c r="AP3" s="2" t="s">
        <v>54</v>
      </c>
      <c r="AQ3" s="2" t="s">
        <v>58</v>
      </c>
    </row>
    <row r="4" spans="1:43" x14ac:dyDescent="0.2">
      <c r="A4" s="2">
        <v>218</v>
      </c>
      <c r="B4" s="2" t="s">
        <v>43</v>
      </c>
      <c r="C4" s="2" t="s">
        <v>44</v>
      </c>
      <c r="D4" s="2" t="s">
        <v>45</v>
      </c>
      <c r="E4" s="2"/>
      <c r="F4" s="2">
        <v>35461383</v>
      </c>
      <c r="G4" s="2" t="s">
        <v>46</v>
      </c>
      <c r="H4" s="3">
        <v>24500</v>
      </c>
      <c r="I4" s="2"/>
      <c r="J4" s="2" t="s">
        <v>69</v>
      </c>
      <c r="K4" s="2" t="s">
        <v>49</v>
      </c>
      <c r="L4" s="2"/>
      <c r="M4" s="2"/>
      <c r="N4" s="2"/>
      <c r="O4" s="2"/>
      <c r="P4" s="2"/>
      <c r="Q4" s="2">
        <v>30</v>
      </c>
      <c r="R4" s="2">
        <v>50</v>
      </c>
      <c r="S4" s="2" t="s">
        <v>50</v>
      </c>
      <c r="T4" s="2"/>
      <c r="U4" s="2"/>
      <c r="V4" s="2" t="s">
        <v>70</v>
      </c>
      <c r="W4" s="2" t="s">
        <v>52</v>
      </c>
      <c r="X4" s="2" t="b">
        <v>0</v>
      </c>
      <c r="Y4" s="2"/>
      <c r="Z4" s="2"/>
      <c r="AA4" s="2"/>
      <c r="AB4" s="2" t="s">
        <v>45</v>
      </c>
      <c r="AC4" s="2" t="s">
        <v>65</v>
      </c>
      <c r="AD4" s="2" t="s">
        <v>66</v>
      </c>
      <c r="AE4" s="2" t="s">
        <v>54</v>
      </c>
      <c r="AF4" s="2"/>
      <c r="AG4" s="2"/>
      <c r="AH4" s="2"/>
      <c r="AI4" s="2"/>
      <c r="AJ4" s="2"/>
      <c r="AK4" s="2">
        <v>4</v>
      </c>
      <c r="AL4" s="2" t="s">
        <v>71</v>
      </c>
      <c r="AM4" s="2" t="s">
        <v>72</v>
      </c>
      <c r="AN4" s="2"/>
      <c r="AO4" s="2">
        <v>0</v>
      </c>
      <c r="AP4" s="2" t="s">
        <v>54</v>
      </c>
      <c r="AQ4" s="2" t="s">
        <v>58</v>
      </c>
    </row>
    <row r="5" spans="1:43" x14ac:dyDescent="0.2">
      <c r="A5" s="2">
        <v>217</v>
      </c>
      <c r="B5" s="2" t="s">
        <v>43</v>
      </c>
      <c r="C5" s="2" t="s">
        <v>44</v>
      </c>
      <c r="D5" s="2" t="s">
        <v>45</v>
      </c>
      <c r="E5" s="2"/>
      <c r="F5" s="2">
        <v>35533934</v>
      </c>
      <c r="G5" s="2" t="s">
        <v>59</v>
      </c>
      <c r="H5" s="3">
        <v>21333</v>
      </c>
      <c r="I5" s="2"/>
      <c r="J5" s="2" t="s">
        <v>73</v>
      </c>
      <c r="K5" s="2" t="s">
        <v>49</v>
      </c>
      <c r="L5" s="2"/>
      <c r="M5" s="2"/>
      <c r="N5" s="2"/>
      <c r="O5" s="2"/>
      <c r="P5" s="2"/>
      <c r="Q5" s="2">
        <v>49</v>
      </c>
      <c r="R5" s="2">
        <v>70</v>
      </c>
      <c r="S5" s="2" t="s">
        <v>50</v>
      </c>
      <c r="T5" s="2"/>
      <c r="U5" s="2"/>
      <c r="V5" s="2" t="s">
        <v>51</v>
      </c>
      <c r="W5" s="2" t="s">
        <v>52</v>
      </c>
      <c r="X5" s="2" t="b">
        <v>0</v>
      </c>
      <c r="Y5" s="2" t="s">
        <v>53</v>
      </c>
      <c r="Z5" s="2"/>
      <c r="AA5" s="2"/>
      <c r="AB5" s="2" t="s">
        <v>45</v>
      </c>
      <c r="AC5" s="2" t="s">
        <v>65</v>
      </c>
      <c r="AD5" s="2" t="s">
        <v>66</v>
      </c>
      <c r="AE5" s="2" t="s">
        <v>54</v>
      </c>
      <c r="AF5" s="2" t="s">
        <v>54</v>
      </c>
      <c r="AG5" s="2"/>
      <c r="AH5" s="2" t="s">
        <v>55</v>
      </c>
      <c r="AI5" s="2" t="s">
        <v>55</v>
      </c>
      <c r="AJ5" s="2"/>
      <c r="AK5" s="2">
        <v>4</v>
      </c>
      <c r="AL5" s="2" t="s">
        <v>74</v>
      </c>
      <c r="AM5" s="2" t="s">
        <v>57</v>
      </c>
      <c r="AN5" s="2"/>
      <c r="AO5" s="2">
        <v>0</v>
      </c>
      <c r="AP5" s="2" t="s">
        <v>54</v>
      </c>
      <c r="AQ5" s="2" t="s">
        <v>58</v>
      </c>
    </row>
    <row r="6" spans="1:43" x14ac:dyDescent="0.2">
      <c r="A6" s="2">
        <v>216</v>
      </c>
      <c r="B6" s="2" t="s">
        <v>43</v>
      </c>
      <c r="C6" s="2" t="s">
        <v>44</v>
      </c>
      <c r="D6" s="2" t="s">
        <v>45</v>
      </c>
      <c r="E6" s="2"/>
      <c r="F6" s="2">
        <v>35543446</v>
      </c>
      <c r="G6" s="2" t="s">
        <v>46</v>
      </c>
      <c r="H6" s="3">
        <v>14411</v>
      </c>
      <c r="I6" s="2"/>
      <c r="J6" s="2" t="s">
        <v>75</v>
      </c>
      <c r="K6" s="2" t="s">
        <v>49</v>
      </c>
      <c r="L6" s="2"/>
      <c r="M6" s="2"/>
      <c r="N6" s="2"/>
      <c r="O6" s="2"/>
      <c r="P6" s="2"/>
      <c r="Q6" s="2">
        <v>48</v>
      </c>
      <c r="R6" s="2"/>
      <c r="S6" s="2" t="s">
        <v>76</v>
      </c>
      <c r="T6" s="2"/>
      <c r="U6" s="2"/>
      <c r="V6" s="2" t="s">
        <v>70</v>
      </c>
      <c r="W6" s="2" t="s">
        <v>52</v>
      </c>
      <c r="X6" s="2" t="b">
        <v>0</v>
      </c>
      <c r="Y6" s="2" t="s">
        <v>53</v>
      </c>
      <c r="Z6" s="2" t="s">
        <v>64</v>
      </c>
      <c r="AA6" s="2"/>
      <c r="AB6" s="2" t="s">
        <v>45</v>
      </c>
      <c r="AC6" s="2" t="s">
        <v>65</v>
      </c>
      <c r="AD6" s="2" t="s">
        <v>66</v>
      </c>
      <c r="AE6" s="2" t="s">
        <v>54</v>
      </c>
      <c r="AF6" s="2" t="s">
        <v>54</v>
      </c>
      <c r="AG6" s="2"/>
      <c r="AH6" s="2" t="s">
        <v>54</v>
      </c>
      <c r="AI6" s="2" t="s">
        <v>55</v>
      </c>
      <c r="AJ6" s="2"/>
      <c r="AK6" s="2">
        <v>4</v>
      </c>
      <c r="AL6" s="2" t="s">
        <v>68</v>
      </c>
      <c r="AM6" s="2" t="s">
        <v>57</v>
      </c>
      <c r="AN6" s="2" t="s">
        <v>54</v>
      </c>
      <c r="AO6" s="2">
        <v>0</v>
      </c>
      <c r="AP6" s="2" t="s">
        <v>54</v>
      </c>
      <c r="AQ6" s="2" t="s">
        <v>58</v>
      </c>
    </row>
    <row r="7" spans="1:43" x14ac:dyDescent="0.2">
      <c r="A7" s="2">
        <v>215</v>
      </c>
      <c r="B7" s="2" t="s">
        <v>43</v>
      </c>
      <c r="C7" s="2" t="s">
        <v>44</v>
      </c>
      <c r="D7" s="2" t="s">
        <v>45</v>
      </c>
      <c r="E7" s="2"/>
      <c r="F7" s="2">
        <v>35577436</v>
      </c>
      <c r="G7" s="2" t="s">
        <v>46</v>
      </c>
      <c r="H7" s="3">
        <v>17637</v>
      </c>
      <c r="I7" s="2"/>
      <c r="J7" s="2" t="s">
        <v>77</v>
      </c>
      <c r="K7" s="2" t="s">
        <v>61</v>
      </c>
      <c r="L7" s="2"/>
      <c r="M7" s="2"/>
      <c r="N7" s="2"/>
      <c r="O7" s="2"/>
      <c r="P7" s="2"/>
      <c r="Q7" s="2">
        <v>20</v>
      </c>
      <c r="R7" s="2">
        <v>30</v>
      </c>
      <c r="S7" s="2" t="s">
        <v>76</v>
      </c>
      <c r="T7" s="2"/>
      <c r="U7" s="2"/>
      <c r="V7" s="2" t="s">
        <v>78</v>
      </c>
      <c r="W7" s="2" t="s">
        <v>79</v>
      </c>
      <c r="X7" s="2" t="b">
        <v>0</v>
      </c>
      <c r="Y7" s="2" t="s">
        <v>64</v>
      </c>
      <c r="Z7" s="2" t="s">
        <v>64</v>
      </c>
      <c r="AA7" s="2"/>
      <c r="AB7" s="2" t="s">
        <v>45</v>
      </c>
      <c r="AC7" s="2" t="s">
        <v>80</v>
      </c>
      <c r="AD7" s="2" t="s">
        <v>81</v>
      </c>
      <c r="AE7" s="2" t="s">
        <v>54</v>
      </c>
      <c r="AF7" s="2" t="s">
        <v>54</v>
      </c>
      <c r="AG7" s="2"/>
      <c r="AH7" s="2" t="s">
        <v>54</v>
      </c>
      <c r="AI7" s="2" t="s">
        <v>54</v>
      </c>
      <c r="AJ7" s="2"/>
      <c r="AK7" s="2">
        <v>0</v>
      </c>
      <c r="AL7" s="2" t="s">
        <v>82</v>
      </c>
      <c r="AM7" s="2" t="s">
        <v>57</v>
      </c>
      <c r="AN7" s="2" t="s">
        <v>54</v>
      </c>
      <c r="AO7" s="2">
        <v>0</v>
      </c>
      <c r="AP7" s="2" t="s">
        <v>54</v>
      </c>
      <c r="AQ7" s="2" t="s">
        <v>58</v>
      </c>
    </row>
    <row r="8" spans="1:43" x14ac:dyDescent="0.2">
      <c r="A8" s="2">
        <v>214</v>
      </c>
      <c r="B8" s="2" t="s">
        <v>43</v>
      </c>
      <c r="C8" s="2" t="s">
        <v>44</v>
      </c>
      <c r="D8" s="2" t="s">
        <v>45</v>
      </c>
      <c r="E8" s="2"/>
      <c r="F8" s="2">
        <v>35589076</v>
      </c>
      <c r="G8" s="2" t="s">
        <v>59</v>
      </c>
      <c r="H8" s="3">
        <v>28686</v>
      </c>
      <c r="I8" s="2" t="s">
        <v>83</v>
      </c>
      <c r="J8" s="2" t="s">
        <v>84</v>
      </c>
      <c r="K8" s="2" t="s">
        <v>49</v>
      </c>
      <c r="L8" s="2"/>
      <c r="M8" s="2"/>
      <c r="N8" s="2"/>
      <c r="O8" s="2"/>
      <c r="P8" s="2"/>
      <c r="Q8" s="2">
        <v>50</v>
      </c>
      <c r="R8" s="2">
        <v>0</v>
      </c>
      <c r="S8" s="2" t="s">
        <v>76</v>
      </c>
      <c r="T8" s="2"/>
      <c r="U8" s="2"/>
      <c r="V8" s="2" t="s">
        <v>78</v>
      </c>
      <c r="W8" s="2" t="s">
        <v>85</v>
      </c>
      <c r="X8" s="2" t="b">
        <v>0</v>
      </c>
      <c r="Y8" s="2"/>
      <c r="Z8" s="2"/>
      <c r="AA8" s="2"/>
      <c r="AB8" s="2" t="s">
        <v>45</v>
      </c>
      <c r="AC8" s="2" t="s">
        <v>80</v>
      </c>
      <c r="AD8" s="2" t="s">
        <v>81</v>
      </c>
      <c r="AE8" s="2" t="s">
        <v>54</v>
      </c>
      <c r="AF8" s="2" t="s">
        <v>54</v>
      </c>
      <c r="AG8" s="2"/>
      <c r="AH8" s="2" t="s">
        <v>54</v>
      </c>
      <c r="AI8" s="2"/>
      <c r="AJ8" s="2"/>
      <c r="AK8" s="2">
        <v>2</v>
      </c>
      <c r="AL8" s="2" t="s">
        <v>82</v>
      </c>
      <c r="AM8" s="2" t="s">
        <v>72</v>
      </c>
      <c r="AN8" s="2"/>
      <c r="AO8" s="2">
        <v>0</v>
      </c>
      <c r="AP8" s="2" t="s">
        <v>54</v>
      </c>
      <c r="AQ8" s="2" t="s">
        <v>58</v>
      </c>
    </row>
    <row r="9" spans="1:43" x14ac:dyDescent="0.2">
      <c r="A9" s="2">
        <v>213</v>
      </c>
      <c r="B9" s="2" t="s">
        <v>43</v>
      </c>
      <c r="C9" s="2" t="s">
        <v>44</v>
      </c>
      <c r="D9" s="2" t="s">
        <v>45</v>
      </c>
      <c r="E9" s="2"/>
      <c r="F9" s="2">
        <v>35610690</v>
      </c>
      <c r="G9" s="2" t="s">
        <v>59</v>
      </c>
      <c r="H9" s="3">
        <v>17862</v>
      </c>
      <c r="I9" s="2"/>
      <c r="J9" s="2" t="s">
        <v>86</v>
      </c>
      <c r="K9" s="2" t="s">
        <v>49</v>
      </c>
      <c r="L9" s="2"/>
      <c r="M9" s="2"/>
      <c r="N9" s="2"/>
      <c r="O9" s="2"/>
      <c r="P9" s="2"/>
      <c r="Q9" s="2">
        <v>45</v>
      </c>
      <c r="R9" s="2"/>
      <c r="S9" s="2" t="s">
        <v>76</v>
      </c>
      <c r="T9" s="2"/>
      <c r="U9" s="2"/>
      <c r="V9" s="2" t="s">
        <v>63</v>
      </c>
      <c r="W9" s="2" t="s">
        <v>87</v>
      </c>
      <c r="X9" s="2" t="b">
        <v>0</v>
      </c>
      <c r="Y9" s="2" t="s">
        <v>53</v>
      </c>
      <c r="Z9" s="2" t="s">
        <v>53</v>
      </c>
      <c r="AA9" s="2"/>
      <c r="AB9" s="2" t="s">
        <v>45</v>
      </c>
      <c r="AC9" s="2" t="s">
        <v>80</v>
      </c>
      <c r="AD9" s="2" t="s">
        <v>66</v>
      </c>
      <c r="AE9" s="2" t="s">
        <v>54</v>
      </c>
      <c r="AF9" s="2" t="s">
        <v>88</v>
      </c>
      <c r="AG9" s="2" t="s">
        <v>89</v>
      </c>
      <c r="AH9" s="2" t="s">
        <v>54</v>
      </c>
      <c r="AI9" s="2" t="s">
        <v>55</v>
      </c>
      <c r="AJ9" s="2"/>
      <c r="AK9" s="2">
        <v>2</v>
      </c>
      <c r="AL9" s="2" t="s">
        <v>68</v>
      </c>
      <c r="AM9" s="2" t="s">
        <v>57</v>
      </c>
      <c r="AN9" s="2"/>
      <c r="AO9" s="2">
        <v>0</v>
      </c>
      <c r="AP9" s="2" t="s">
        <v>55</v>
      </c>
      <c r="AQ9" s="2" t="s">
        <v>58</v>
      </c>
    </row>
    <row r="10" spans="1:43" x14ac:dyDescent="0.2">
      <c r="A10" s="2">
        <v>212</v>
      </c>
      <c r="B10" s="2" t="s">
        <v>43</v>
      </c>
      <c r="C10" s="2" t="s">
        <v>44</v>
      </c>
      <c r="D10" s="2" t="s">
        <v>45</v>
      </c>
      <c r="E10" s="2"/>
      <c r="F10" s="2">
        <v>35667237</v>
      </c>
      <c r="G10" s="2" t="s">
        <v>46</v>
      </c>
      <c r="H10" s="3">
        <v>12735</v>
      </c>
      <c r="I10" s="2" t="s">
        <v>90</v>
      </c>
      <c r="J10" s="2" t="s">
        <v>91</v>
      </c>
      <c r="K10" s="2" t="s">
        <v>49</v>
      </c>
      <c r="L10" s="2"/>
      <c r="M10" s="2"/>
      <c r="N10" s="2"/>
      <c r="O10" s="2"/>
      <c r="P10" s="2"/>
      <c r="Q10" s="2">
        <v>35</v>
      </c>
      <c r="R10" s="2">
        <v>69</v>
      </c>
      <c r="S10" s="2" t="s">
        <v>50</v>
      </c>
      <c r="T10" s="2"/>
      <c r="U10" s="2"/>
      <c r="V10" s="2" t="s">
        <v>78</v>
      </c>
      <c r="W10" s="2" t="s">
        <v>79</v>
      </c>
      <c r="X10" s="2" t="b">
        <v>0</v>
      </c>
      <c r="Y10" s="2" t="s">
        <v>64</v>
      </c>
      <c r="Z10" s="2"/>
      <c r="AA10" s="2"/>
      <c r="AB10" s="2" t="s">
        <v>45</v>
      </c>
      <c r="AC10" s="2"/>
      <c r="AD10" s="2" t="s">
        <v>81</v>
      </c>
      <c r="AE10" s="2" t="s">
        <v>54</v>
      </c>
      <c r="AF10" s="2" t="s">
        <v>54</v>
      </c>
      <c r="AG10" s="2"/>
      <c r="AH10" s="2"/>
      <c r="AI10" s="2"/>
      <c r="AJ10" s="2"/>
      <c r="AK10" s="2">
        <v>0</v>
      </c>
      <c r="AL10" s="2" t="s">
        <v>57</v>
      </c>
      <c r="AM10" s="2" t="s">
        <v>57</v>
      </c>
      <c r="AN10" s="2" t="s">
        <v>54</v>
      </c>
      <c r="AO10" s="2">
        <v>0</v>
      </c>
      <c r="AP10" s="2" t="s">
        <v>54</v>
      </c>
      <c r="AQ10" s="2" t="s">
        <v>58</v>
      </c>
    </row>
    <row r="11" spans="1:43" x14ac:dyDescent="0.2">
      <c r="A11" s="2">
        <v>211</v>
      </c>
      <c r="B11" s="2" t="s">
        <v>43</v>
      </c>
      <c r="C11" s="2" t="s">
        <v>44</v>
      </c>
      <c r="D11" s="2" t="s">
        <v>45</v>
      </c>
      <c r="E11" s="2"/>
      <c r="F11" s="2">
        <v>35786243</v>
      </c>
      <c r="G11" s="2" t="s">
        <v>46</v>
      </c>
      <c r="H11" s="3">
        <v>18901</v>
      </c>
      <c r="I11" s="2" t="s">
        <v>92</v>
      </c>
      <c r="J11" s="2" t="s">
        <v>93</v>
      </c>
      <c r="K11" s="2" t="s">
        <v>61</v>
      </c>
      <c r="L11" s="2"/>
      <c r="M11" s="2"/>
      <c r="N11" s="2"/>
      <c r="O11" s="2"/>
      <c r="P11" s="2"/>
      <c r="Q11" s="2">
        <v>38</v>
      </c>
      <c r="R11" s="2">
        <v>90</v>
      </c>
      <c r="S11" s="2" t="s">
        <v>62</v>
      </c>
      <c r="T11" s="2"/>
      <c r="U11" s="2"/>
      <c r="V11" s="2" t="s">
        <v>78</v>
      </c>
      <c r="W11" s="2" t="s">
        <v>52</v>
      </c>
      <c r="X11" s="2" t="b">
        <v>0</v>
      </c>
      <c r="Y11" s="2" t="s">
        <v>64</v>
      </c>
      <c r="Z11" s="2"/>
      <c r="AA11" s="2"/>
      <c r="AB11" s="2" t="s">
        <v>45</v>
      </c>
      <c r="AC11" s="2" t="s">
        <v>65</v>
      </c>
      <c r="AD11" s="2" t="s">
        <v>81</v>
      </c>
      <c r="AE11" s="2" t="s">
        <v>54</v>
      </c>
      <c r="AF11" s="2" t="s">
        <v>54</v>
      </c>
      <c r="AG11" s="2"/>
      <c r="AH11" s="2" t="s">
        <v>54</v>
      </c>
      <c r="AI11" s="2" t="s">
        <v>54</v>
      </c>
      <c r="AJ11" s="2"/>
      <c r="AK11" s="2">
        <v>3</v>
      </c>
      <c r="AL11" s="2" t="s">
        <v>71</v>
      </c>
      <c r="AM11" s="2" t="s">
        <v>57</v>
      </c>
      <c r="AN11" s="2" t="s">
        <v>54</v>
      </c>
      <c r="AO11" s="2">
        <v>0</v>
      </c>
      <c r="AP11" s="2" t="s">
        <v>54</v>
      </c>
      <c r="AQ11" s="2" t="s">
        <v>58</v>
      </c>
    </row>
    <row r="12" spans="1:43" x14ac:dyDescent="0.2">
      <c r="A12" s="2">
        <v>210</v>
      </c>
      <c r="B12" s="2" t="s">
        <v>43</v>
      </c>
      <c r="C12" s="2" t="s">
        <v>44</v>
      </c>
      <c r="D12" s="2" t="s">
        <v>45</v>
      </c>
      <c r="E12" s="2"/>
      <c r="F12" s="2">
        <v>35938703</v>
      </c>
      <c r="G12" s="2" t="s">
        <v>46</v>
      </c>
      <c r="H12" s="3">
        <v>26047</v>
      </c>
      <c r="I12" s="2" t="s">
        <v>94</v>
      </c>
      <c r="J12" s="2" t="s">
        <v>95</v>
      </c>
      <c r="K12" s="2" t="s">
        <v>61</v>
      </c>
      <c r="L12" s="2"/>
      <c r="M12" s="2"/>
      <c r="N12" s="2"/>
      <c r="O12" s="2"/>
      <c r="P12" s="2"/>
      <c r="Q12" s="2">
        <v>37</v>
      </c>
      <c r="R12" s="2">
        <v>10</v>
      </c>
      <c r="S12" s="2" t="s">
        <v>62</v>
      </c>
      <c r="T12" s="2"/>
      <c r="U12" s="2"/>
      <c r="V12" s="2" t="s">
        <v>51</v>
      </c>
      <c r="W12" s="2" t="s">
        <v>52</v>
      </c>
      <c r="X12" s="2" t="b">
        <v>1</v>
      </c>
      <c r="Y12" s="2"/>
      <c r="Z12" s="2"/>
      <c r="AA12" s="2"/>
      <c r="AB12" s="2" t="s">
        <v>45</v>
      </c>
      <c r="AC12" s="2" t="s">
        <v>65</v>
      </c>
      <c r="AD12" s="2" t="s">
        <v>66</v>
      </c>
      <c r="AE12" s="2" t="s">
        <v>54</v>
      </c>
      <c r="AF12" s="2"/>
      <c r="AG12" s="2"/>
      <c r="AH12" s="2" t="s">
        <v>55</v>
      </c>
      <c r="AI12" s="2"/>
      <c r="AJ12" s="2"/>
      <c r="AK12" s="2">
        <v>4</v>
      </c>
      <c r="AL12" s="2" t="s">
        <v>96</v>
      </c>
      <c r="AM12" s="2" t="s">
        <v>57</v>
      </c>
      <c r="AN12" s="2" t="s">
        <v>55</v>
      </c>
      <c r="AO12" s="2"/>
      <c r="AP12" s="2" t="s">
        <v>54</v>
      </c>
      <c r="AQ12" s="2" t="s">
        <v>58</v>
      </c>
    </row>
    <row r="13" spans="1:43" x14ac:dyDescent="0.2">
      <c r="A13" s="2">
        <v>209</v>
      </c>
      <c r="B13" s="2" t="s">
        <v>43</v>
      </c>
      <c r="C13" s="2" t="s">
        <v>44</v>
      </c>
      <c r="D13" s="2" t="s">
        <v>45</v>
      </c>
      <c r="E13" s="2"/>
      <c r="F13" s="2">
        <v>35956515</v>
      </c>
      <c r="G13" s="2" t="s">
        <v>46</v>
      </c>
      <c r="H13" s="3">
        <v>11155</v>
      </c>
      <c r="I13" s="2"/>
      <c r="J13" s="2" t="s">
        <v>97</v>
      </c>
      <c r="K13" s="2" t="s">
        <v>49</v>
      </c>
      <c r="L13" s="2"/>
      <c r="M13" s="2"/>
      <c r="N13" s="2"/>
      <c r="O13" s="2"/>
      <c r="P13" s="2"/>
      <c r="Q13" s="2">
        <v>70</v>
      </c>
      <c r="R13" s="2">
        <v>45</v>
      </c>
      <c r="S13" s="2" t="s">
        <v>50</v>
      </c>
      <c r="T13" s="2"/>
      <c r="U13" s="2"/>
      <c r="V13" s="2" t="s">
        <v>70</v>
      </c>
      <c r="W13" s="2" t="s">
        <v>52</v>
      </c>
      <c r="X13" s="2" t="b">
        <v>0</v>
      </c>
      <c r="Y13" s="2" t="s">
        <v>64</v>
      </c>
      <c r="Z13" s="2" t="s">
        <v>64</v>
      </c>
      <c r="AA13" s="2"/>
      <c r="AB13" s="2" t="s">
        <v>45</v>
      </c>
      <c r="AC13" s="2" t="s">
        <v>65</v>
      </c>
      <c r="AD13" s="2" t="s">
        <v>66</v>
      </c>
      <c r="AE13" s="2" t="s">
        <v>54</v>
      </c>
      <c r="AF13" s="2"/>
      <c r="AG13" s="2"/>
      <c r="AH13" s="2" t="s">
        <v>54</v>
      </c>
      <c r="AI13" s="2" t="s">
        <v>54</v>
      </c>
      <c r="AJ13" s="2"/>
      <c r="AK13" s="2">
        <v>4</v>
      </c>
      <c r="AL13" s="2" t="s">
        <v>68</v>
      </c>
      <c r="AM13" s="2" t="s">
        <v>57</v>
      </c>
      <c r="AN13" s="2" t="s">
        <v>54</v>
      </c>
      <c r="AO13" s="2">
        <v>0</v>
      </c>
      <c r="AP13" s="2" t="s">
        <v>54</v>
      </c>
      <c r="AQ13" s="2" t="s">
        <v>58</v>
      </c>
    </row>
    <row r="14" spans="1:43" x14ac:dyDescent="0.2">
      <c r="A14" s="2">
        <v>208</v>
      </c>
      <c r="B14" s="2" t="s">
        <v>43</v>
      </c>
      <c r="C14" s="2" t="s">
        <v>44</v>
      </c>
      <c r="D14" s="2" t="s">
        <v>45</v>
      </c>
      <c r="E14" s="2"/>
      <c r="F14" s="2">
        <v>36673267</v>
      </c>
      <c r="G14" s="2" t="s">
        <v>59</v>
      </c>
      <c r="H14" s="3">
        <v>9915</v>
      </c>
      <c r="I14" s="2" t="s">
        <v>98</v>
      </c>
      <c r="J14" s="2" t="s">
        <v>99</v>
      </c>
      <c r="K14" s="2" t="s">
        <v>61</v>
      </c>
      <c r="L14" s="2"/>
      <c r="M14" s="2"/>
      <c r="N14" s="2"/>
      <c r="O14" s="2"/>
      <c r="P14" s="2"/>
      <c r="Q14" s="2">
        <v>58</v>
      </c>
      <c r="R14" s="2"/>
      <c r="S14" s="2" t="s">
        <v>76</v>
      </c>
      <c r="T14" s="2"/>
      <c r="U14" s="2"/>
      <c r="V14" s="2" t="s">
        <v>63</v>
      </c>
      <c r="W14" s="2" t="s">
        <v>87</v>
      </c>
      <c r="X14" s="2" t="b">
        <v>0</v>
      </c>
      <c r="Y14" s="2"/>
      <c r="Z14" s="2"/>
      <c r="AA14" s="2"/>
      <c r="AB14" s="2" t="s">
        <v>45</v>
      </c>
      <c r="AC14" s="2" t="s">
        <v>80</v>
      </c>
      <c r="AD14" s="2" t="s">
        <v>66</v>
      </c>
      <c r="AE14" s="2" t="s">
        <v>100</v>
      </c>
      <c r="AF14" s="2" t="s">
        <v>88</v>
      </c>
      <c r="AG14" s="2" t="s">
        <v>101</v>
      </c>
      <c r="AH14" s="2"/>
      <c r="AI14" s="2"/>
      <c r="AJ14" s="2"/>
      <c r="AK14" s="2">
        <v>3</v>
      </c>
      <c r="AL14" s="2" t="s">
        <v>82</v>
      </c>
      <c r="AM14" s="2" t="s">
        <v>57</v>
      </c>
      <c r="AN14" s="2" t="s">
        <v>54</v>
      </c>
      <c r="AO14" s="2">
        <v>0</v>
      </c>
      <c r="AP14" s="2" t="s">
        <v>54</v>
      </c>
      <c r="AQ14" s="2" t="s">
        <v>58</v>
      </c>
    </row>
    <row r="15" spans="1:43" x14ac:dyDescent="0.2">
      <c r="A15" s="2">
        <v>207</v>
      </c>
      <c r="B15" s="2" t="s">
        <v>43</v>
      </c>
      <c r="C15" s="2" t="s">
        <v>44</v>
      </c>
      <c r="D15" s="2" t="s">
        <v>45</v>
      </c>
      <c r="E15" s="2"/>
      <c r="F15" s="2">
        <v>37164548</v>
      </c>
      <c r="G15" s="2" t="s">
        <v>46</v>
      </c>
      <c r="H15" s="3">
        <v>17825</v>
      </c>
      <c r="I15" s="2"/>
      <c r="J15" s="2" t="s">
        <v>102</v>
      </c>
      <c r="K15" s="2" t="s">
        <v>49</v>
      </c>
      <c r="L15" s="2"/>
      <c r="M15" s="2"/>
      <c r="N15" s="2"/>
      <c r="O15" s="2"/>
      <c r="P15" s="2"/>
      <c r="Q15" s="2">
        <v>34</v>
      </c>
      <c r="R15" s="2">
        <v>45</v>
      </c>
      <c r="S15" s="2" t="s">
        <v>50</v>
      </c>
      <c r="T15" s="2"/>
      <c r="U15" s="2"/>
      <c r="V15" s="2" t="s">
        <v>78</v>
      </c>
      <c r="W15" s="2" t="s">
        <v>52</v>
      </c>
      <c r="X15" s="2" t="b">
        <v>0</v>
      </c>
      <c r="Y15" s="2" t="s">
        <v>64</v>
      </c>
      <c r="Z15" s="2" t="s">
        <v>64</v>
      </c>
      <c r="AA15" s="2"/>
      <c r="AB15" s="2" t="s">
        <v>45</v>
      </c>
      <c r="AC15" s="2" t="s">
        <v>65</v>
      </c>
      <c r="AD15" s="2" t="s">
        <v>81</v>
      </c>
      <c r="AE15" s="2" t="s">
        <v>54</v>
      </c>
      <c r="AF15" s="2" t="s">
        <v>54</v>
      </c>
      <c r="AG15" s="2"/>
      <c r="AH15" s="2" t="s">
        <v>54</v>
      </c>
      <c r="AI15" s="2" t="s">
        <v>54</v>
      </c>
      <c r="AJ15" s="2"/>
      <c r="AK15" s="2">
        <v>4</v>
      </c>
      <c r="AL15" s="2" t="s">
        <v>103</v>
      </c>
      <c r="AM15" s="2" t="s">
        <v>57</v>
      </c>
      <c r="AN15" s="2" t="s">
        <v>54</v>
      </c>
      <c r="AO15" s="2">
        <v>0</v>
      </c>
      <c r="AP15" s="2" t="s">
        <v>54</v>
      </c>
      <c r="AQ15" s="2" t="s">
        <v>58</v>
      </c>
    </row>
    <row r="16" spans="1:43" x14ac:dyDescent="0.2">
      <c r="A16" s="2">
        <v>206</v>
      </c>
      <c r="B16" s="2" t="s">
        <v>43</v>
      </c>
      <c r="C16" s="2" t="s">
        <v>44</v>
      </c>
      <c r="D16" s="2" t="s">
        <v>45</v>
      </c>
      <c r="E16" s="2"/>
      <c r="F16" s="2">
        <v>37316775</v>
      </c>
      <c r="G16" s="2" t="s">
        <v>46</v>
      </c>
      <c r="H16" s="3">
        <v>16036</v>
      </c>
      <c r="I16" s="2" t="s">
        <v>104</v>
      </c>
      <c r="J16" s="2" t="s">
        <v>105</v>
      </c>
      <c r="K16" s="2" t="s">
        <v>49</v>
      </c>
      <c r="L16" s="2"/>
      <c r="M16" s="2"/>
      <c r="N16" s="2"/>
      <c r="O16" s="2"/>
      <c r="P16" s="2"/>
      <c r="Q16" s="2">
        <v>40</v>
      </c>
      <c r="R16" s="2">
        <v>50</v>
      </c>
      <c r="S16" s="2" t="s">
        <v>50</v>
      </c>
      <c r="T16" s="2"/>
      <c r="U16" s="2"/>
      <c r="V16" s="2" t="s">
        <v>70</v>
      </c>
      <c r="W16" s="2" t="s">
        <v>79</v>
      </c>
      <c r="X16" s="2" t="b">
        <v>1</v>
      </c>
      <c r="Y16" s="2"/>
      <c r="Z16" s="2" t="s">
        <v>53</v>
      </c>
      <c r="AA16" s="2"/>
      <c r="AB16" s="2" t="s">
        <v>45</v>
      </c>
      <c r="AC16" s="2"/>
      <c r="AD16" s="2" t="s">
        <v>66</v>
      </c>
      <c r="AE16" s="2" t="s">
        <v>54</v>
      </c>
      <c r="AF16" s="2"/>
      <c r="AG16" s="2"/>
      <c r="AH16" s="2"/>
      <c r="AI16" s="2"/>
      <c r="AJ16" s="2"/>
      <c r="AK16" s="2"/>
      <c r="AL16" s="2" t="s">
        <v>57</v>
      </c>
      <c r="AM16" s="2" t="s">
        <v>57</v>
      </c>
      <c r="AN16" s="2" t="s">
        <v>55</v>
      </c>
      <c r="AO16" s="2">
        <v>2</v>
      </c>
      <c r="AP16" s="2" t="s">
        <v>55</v>
      </c>
      <c r="AQ16" s="2" t="s">
        <v>58</v>
      </c>
    </row>
    <row r="17" spans="1:43" x14ac:dyDescent="0.2">
      <c r="A17" s="2">
        <v>205</v>
      </c>
      <c r="B17" s="2" t="s">
        <v>43</v>
      </c>
      <c r="C17" s="2" t="s">
        <v>44</v>
      </c>
      <c r="D17" s="2" t="s">
        <v>45</v>
      </c>
      <c r="E17" s="2"/>
      <c r="F17" s="2">
        <v>37384609</v>
      </c>
      <c r="G17" s="2" t="s">
        <v>59</v>
      </c>
      <c r="H17" s="3">
        <v>21528</v>
      </c>
      <c r="I17" s="2" t="s">
        <v>106</v>
      </c>
      <c r="J17" s="2" t="s">
        <v>107</v>
      </c>
      <c r="K17" s="2" t="s">
        <v>49</v>
      </c>
      <c r="L17" s="2"/>
      <c r="M17" s="2"/>
      <c r="N17" s="2"/>
      <c r="O17" s="2"/>
      <c r="P17" s="2"/>
      <c r="Q17" s="2">
        <v>40</v>
      </c>
      <c r="R17" s="2">
        <v>80</v>
      </c>
      <c r="S17" s="2" t="s">
        <v>62</v>
      </c>
      <c r="T17" s="2"/>
      <c r="U17" s="2"/>
      <c r="V17" s="2" t="s">
        <v>70</v>
      </c>
      <c r="W17" s="2" t="s">
        <v>87</v>
      </c>
      <c r="X17" s="2" t="b">
        <v>0</v>
      </c>
      <c r="Y17" s="2"/>
      <c r="Z17" s="2"/>
      <c r="AA17" s="2"/>
      <c r="AB17" s="2" t="s">
        <v>45</v>
      </c>
      <c r="AC17" s="2" t="s">
        <v>65</v>
      </c>
      <c r="AD17" s="2" t="s">
        <v>66</v>
      </c>
      <c r="AE17" s="2" t="s">
        <v>54</v>
      </c>
      <c r="AF17" s="2"/>
      <c r="AG17" s="2"/>
      <c r="AH17" s="2"/>
      <c r="AI17" s="2"/>
      <c r="AJ17" s="2"/>
      <c r="AK17" s="2">
        <v>2</v>
      </c>
      <c r="AL17" s="2" t="s">
        <v>108</v>
      </c>
      <c r="AM17" s="2" t="s">
        <v>57</v>
      </c>
      <c r="AN17" s="2" t="s">
        <v>54</v>
      </c>
      <c r="AO17" s="2">
        <v>0</v>
      </c>
      <c r="AP17" s="2" t="s">
        <v>54</v>
      </c>
      <c r="AQ17" s="2" t="s">
        <v>58</v>
      </c>
    </row>
    <row r="18" spans="1:43" x14ac:dyDescent="0.2">
      <c r="A18" s="2">
        <v>204</v>
      </c>
      <c r="B18" s="2" t="s">
        <v>43</v>
      </c>
      <c r="C18" s="2" t="s">
        <v>44</v>
      </c>
      <c r="D18" s="2" t="s">
        <v>45</v>
      </c>
      <c r="E18" s="2"/>
      <c r="F18" s="2">
        <v>37600152</v>
      </c>
      <c r="G18" s="2" t="s">
        <v>46</v>
      </c>
      <c r="H18" s="3">
        <v>26467</v>
      </c>
      <c r="I18" s="2" t="s">
        <v>109</v>
      </c>
      <c r="J18" s="2" t="s">
        <v>110</v>
      </c>
      <c r="K18" s="2" t="s">
        <v>61</v>
      </c>
      <c r="L18" s="2"/>
      <c r="M18" s="2"/>
      <c r="N18" s="2"/>
      <c r="O18" s="2"/>
      <c r="P18" s="2"/>
      <c r="Q18" s="2">
        <v>70</v>
      </c>
      <c r="R18" s="2">
        <v>30</v>
      </c>
      <c r="S18" s="2" t="s">
        <v>50</v>
      </c>
      <c r="T18" s="2"/>
      <c r="U18" s="2"/>
      <c r="V18" s="2" t="s">
        <v>63</v>
      </c>
      <c r="W18" s="2" t="s">
        <v>52</v>
      </c>
      <c r="X18" s="2" t="b">
        <v>0</v>
      </c>
      <c r="Y18" s="2" t="s">
        <v>64</v>
      </c>
      <c r="Z18" s="2"/>
      <c r="AA18" s="2"/>
      <c r="AB18" s="2" t="s">
        <v>45</v>
      </c>
      <c r="AC18" s="2"/>
      <c r="AD18" s="2" t="s">
        <v>81</v>
      </c>
      <c r="AE18" s="2"/>
      <c r="AF18" s="2" t="s">
        <v>88</v>
      </c>
      <c r="AG18" s="2" t="s">
        <v>111</v>
      </c>
      <c r="AH18" s="2" t="s">
        <v>54</v>
      </c>
      <c r="AI18" s="2" t="s">
        <v>54</v>
      </c>
      <c r="AJ18" s="2"/>
      <c r="AK18" s="2"/>
      <c r="AL18" s="2" t="s">
        <v>82</v>
      </c>
      <c r="AM18" s="2" t="s">
        <v>57</v>
      </c>
      <c r="AN18" s="2" t="s">
        <v>54</v>
      </c>
      <c r="AO18" s="2">
        <v>0</v>
      </c>
      <c r="AP18" s="2" t="s">
        <v>54</v>
      </c>
      <c r="AQ18" s="2" t="s">
        <v>58</v>
      </c>
    </row>
    <row r="19" spans="1:43" x14ac:dyDescent="0.2">
      <c r="A19" s="2">
        <v>203</v>
      </c>
      <c r="B19" s="2" t="s">
        <v>43</v>
      </c>
      <c r="C19" s="2" t="s">
        <v>44</v>
      </c>
      <c r="D19" s="2" t="s">
        <v>45</v>
      </c>
      <c r="E19" s="2"/>
      <c r="F19" s="2">
        <v>37764297</v>
      </c>
      <c r="G19" s="2" t="s">
        <v>59</v>
      </c>
      <c r="H19" s="3">
        <v>19758</v>
      </c>
      <c r="I19" s="2" t="s">
        <v>112</v>
      </c>
      <c r="J19" s="2" t="s">
        <v>113</v>
      </c>
      <c r="K19" s="2" t="s">
        <v>61</v>
      </c>
      <c r="L19" s="2"/>
      <c r="M19" s="2"/>
      <c r="N19" s="2"/>
      <c r="O19" s="2"/>
      <c r="P19" s="2"/>
      <c r="Q19" s="2">
        <v>53</v>
      </c>
      <c r="R19" s="2">
        <v>68</v>
      </c>
      <c r="S19" s="2" t="s">
        <v>50</v>
      </c>
      <c r="T19" s="2"/>
      <c r="U19" s="2"/>
      <c r="V19" s="2" t="s">
        <v>70</v>
      </c>
      <c r="W19" s="2" t="s">
        <v>52</v>
      </c>
      <c r="X19" s="2" t="b">
        <v>0</v>
      </c>
      <c r="Y19" s="2"/>
      <c r="Z19" s="2"/>
      <c r="AA19" s="2"/>
      <c r="AB19" s="2" t="s">
        <v>45</v>
      </c>
      <c r="AC19" s="2"/>
      <c r="AD19" s="2" t="s">
        <v>66</v>
      </c>
      <c r="AE19" s="2" t="s">
        <v>54</v>
      </c>
      <c r="AF19" s="2"/>
      <c r="AG19" s="2"/>
      <c r="AH19" s="2"/>
      <c r="AI19" s="2"/>
      <c r="AJ19" s="2"/>
      <c r="AK19" s="2"/>
      <c r="AL19" s="2" t="s">
        <v>114</v>
      </c>
      <c r="AM19" s="2" t="s">
        <v>57</v>
      </c>
      <c r="AN19" s="2" t="s">
        <v>54</v>
      </c>
      <c r="AO19" s="2">
        <v>0</v>
      </c>
      <c r="AP19" s="2" t="s">
        <v>54</v>
      </c>
      <c r="AQ19" s="2" t="s">
        <v>58</v>
      </c>
    </row>
    <row r="20" spans="1:43" x14ac:dyDescent="0.2">
      <c r="A20" s="2">
        <v>202</v>
      </c>
      <c r="B20" s="2" t="s">
        <v>43</v>
      </c>
      <c r="C20" s="2" t="s">
        <v>44</v>
      </c>
      <c r="D20" s="2" t="s">
        <v>45</v>
      </c>
      <c r="E20" s="2"/>
      <c r="F20" s="2">
        <v>37920204</v>
      </c>
      <c r="G20" s="2" t="s">
        <v>46</v>
      </c>
      <c r="H20" s="3">
        <v>17139</v>
      </c>
      <c r="I20" s="2" t="s">
        <v>115</v>
      </c>
      <c r="J20" s="2" t="s">
        <v>116</v>
      </c>
      <c r="K20" s="2" t="s">
        <v>49</v>
      </c>
      <c r="L20" s="2"/>
      <c r="M20" s="2"/>
      <c r="N20" s="2"/>
      <c r="O20" s="2"/>
      <c r="P20" s="2"/>
      <c r="Q20" s="2">
        <v>35</v>
      </c>
      <c r="R20" s="2">
        <v>80</v>
      </c>
      <c r="S20" s="2" t="s">
        <v>50</v>
      </c>
      <c r="T20" s="2"/>
      <c r="U20" s="2"/>
      <c r="V20" s="2" t="s">
        <v>78</v>
      </c>
      <c r="W20" s="2" t="s">
        <v>79</v>
      </c>
      <c r="X20" s="2" t="b">
        <v>0</v>
      </c>
      <c r="Y20" s="2" t="s">
        <v>64</v>
      </c>
      <c r="Z20" s="2"/>
      <c r="AA20" s="2"/>
      <c r="AB20" s="2" t="s">
        <v>45</v>
      </c>
      <c r="AC20" s="2"/>
      <c r="AD20" s="2" t="s">
        <v>81</v>
      </c>
      <c r="AE20" s="2" t="s">
        <v>54</v>
      </c>
      <c r="AF20" s="2"/>
      <c r="AG20" s="2"/>
      <c r="AH20" s="2"/>
      <c r="AI20" s="2" t="s">
        <v>54</v>
      </c>
      <c r="AJ20" s="2"/>
      <c r="AK20" s="2"/>
      <c r="AL20" s="2" t="s">
        <v>57</v>
      </c>
      <c r="AM20" s="2" t="s">
        <v>57</v>
      </c>
      <c r="AN20" s="2" t="s">
        <v>54</v>
      </c>
      <c r="AO20" s="2">
        <v>0</v>
      </c>
      <c r="AP20" s="2" t="s">
        <v>54</v>
      </c>
      <c r="AQ20" s="2" t="s">
        <v>58</v>
      </c>
    </row>
    <row r="21" spans="1:43" x14ac:dyDescent="0.2">
      <c r="A21" s="2">
        <v>201</v>
      </c>
      <c r="B21" s="2" t="s">
        <v>43</v>
      </c>
      <c r="C21" s="2" t="s">
        <v>44</v>
      </c>
      <c r="D21" s="2" t="s">
        <v>45</v>
      </c>
      <c r="E21" s="2"/>
      <c r="F21" s="2">
        <v>38124905</v>
      </c>
      <c r="G21" s="2"/>
      <c r="H21" s="2"/>
      <c r="I21" s="2" t="s">
        <v>117</v>
      </c>
      <c r="J21" s="2" t="s">
        <v>118</v>
      </c>
      <c r="K21" s="2" t="s">
        <v>49</v>
      </c>
      <c r="L21" s="2"/>
      <c r="M21" s="2"/>
      <c r="N21" s="2"/>
      <c r="O21" s="2"/>
      <c r="P21" s="2"/>
      <c r="Q21" s="2">
        <v>30</v>
      </c>
      <c r="R21" s="2"/>
      <c r="S21" s="2" t="s">
        <v>50</v>
      </c>
      <c r="T21" s="2"/>
      <c r="U21" s="2"/>
      <c r="V21" s="2" t="s">
        <v>63</v>
      </c>
      <c r="W21" s="2" t="s">
        <v>87</v>
      </c>
      <c r="X21" s="2" t="b">
        <v>1</v>
      </c>
      <c r="Y21" s="2" t="s">
        <v>53</v>
      </c>
      <c r="Z21" s="2" t="s">
        <v>53</v>
      </c>
      <c r="AA21" s="2"/>
      <c r="AB21" s="2" t="s">
        <v>45</v>
      </c>
      <c r="AC21" s="2"/>
      <c r="AD21" s="2" t="s">
        <v>66</v>
      </c>
      <c r="AE21" s="2"/>
      <c r="AF21" s="2" t="s">
        <v>55</v>
      </c>
      <c r="AG21" s="2" t="s">
        <v>119</v>
      </c>
      <c r="AH21" s="2"/>
      <c r="AI21" s="2" t="s">
        <v>55</v>
      </c>
      <c r="AJ21" s="2"/>
      <c r="AK21" s="2">
        <v>2</v>
      </c>
      <c r="AL21" s="2" t="s">
        <v>82</v>
      </c>
      <c r="AM21" s="2" t="s">
        <v>57</v>
      </c>
      <c r="AN21" s="2" t="s">
        <v>55</v>
      </c>
      <c r="AO21" s="2">
        <v>1</v>
      </c>
      <c r="AP21" s="2" t="s">
        <v>55</v>
      </c>
      <c r="AQ21" s="2" t="s">
        <v>58</v>
      </c>
    </row>
    <row r="22" spans="1:43" x14ac:dyDescent="0.2">
      <c r="A22" s="2">
        <v>200</v>
      </c>
      <c r="B22" s="2" t="s">
        <v>43</v>
      </c>
      <c r="C22" s="2" t="s">
        <v>44</v>
      </c>
      <c r="D22" s="2" t="s">
        <v>45</v>
      </c>
      <c r="E22" s="2"/>
      <c r="F22" s="2">
        <v>38164398</v>
      </c>
      <c r="G22" s="2" t="s">
        <v>59</v>
      </c>
      <c r="H22" s="3">
        <v>25286</v>
      </c>
      <c r="I22" s="2"/>
      <c r="J22" s="2" t="s">
        <v>120</v>
      </c>
      <c r="K22" s="2" t="s">
        <v>49</v>
      </c>
      <c r="L22" s="2"/>
      <c r="M22" s="2"/>
      <c r="N22" s="2"/>
      <c r="O22" s="2"/>
      <c r="P22" s="2"/>
      <c r="Q22" s="2">
        <v>60</v>
      </c>
      <c r="R22" s="2">
        <v>70</v>
      </c>
      <c r="S22" s="2" t="s">
        <v>62</v>
      </c>
      <c r="T22" s="2"/>
      <c r="U22" s="2"/>
      <c r="V22" s="2" t="s">
        <v>51</v>
      </c>
      <c r="W22" s="2" t="s">
        <v>52</v>
      </c>
      <c r="X22" s="2" t="b">
        <v>0</v>
      </c>
      <c r="Y22" s="2" t="s">
        <v>53</v>
      </c>
      <c r="Z22" s="2"/>
      <c r="AA22" s="2"/>
      <c r="AB22" s="2" t="s">
        <v>45</v>
      </c>
      <c r="AC22" s="2" t="s">
        <v>65</v>
      </c>
      <c r="AD22" s="2" t="s">
        <v>66</v>
      </c>
      <c r="AE22" s="2" t="s">
        <v>54</v>
      </c>
      <c r="AF22" s="2"/>
      <c r="AG22" s="2"/>
      <c r="AH22" s="2" t="s">
        <v>55</v>
      </c>
      <c r="AI22" s="2" t="s">
        <v>55</v>
      </c>
      <c r="AJ22" s="2"/>
      <c r="AK22" s="2">
        <v>4</v>
      </c>
      <c r="AL22" s="2" t="s">
        <v>82</v>
      </c>
      <c r="AM22" s="2" t="s">
        <v>57</v>
      </c>
      <c r="AN22" s="2" t="s">
        <v>54</v>
      </c>
      <c r="AO22" s="2">
        <v>0</v>
      </c>
      <c r="AP22" s="2" t="s">
        <v>54</v>
      </c>
      <c r="AQ22" s="2" t="s">
        <v>58</v>
      </c>
    </row>
    <row r="23" spans="1:43" x14ac:dyDescent="0.2">
      <c r="A23" s="2">
        <v>199</v>
      </c>
      <c r="B23" s="2" t="s">
        <v>43</v>
      </c>
      <c r="C23" s="2" t="s">
        <v>44</v>
      </c>
      <c r="D23" s="2" t="s">
        <v>45</v>
      </c>
      <c r="E23" s="2"/>
      <c r="F23" s="2">
        <v>38293320</v>
      </c>
      <c r="G23" s="2" t="s">
        <v>46</v>
      </c>
      <c r="H23" s="3">
        <v>20956</v>
      </c>
      <c r="I23" s="2"/>
      <c r="J23" s="2" t="s">
        <v>121</v>
      </c>
      <c r="K23" s="2" t="s">
        <v>49</v>
      </c>
      <c r="L23" s="2"/>
      <c r="M23" s="2"/>
      <c r="N23" s="2"/>
      <c r="O23" s="2"/>
      <c r="P23" s="2"/>
      <c r="Q23" s="2">
        <v>29</v>
      </c>
      <c r="R23" s="2">
        <v>60</v>
      </c>
      <c r="S23" s="2" t="s">
        <v>50</v>
      </c>
      <c r="T23" s="2"/>
      <c r="U23" s="2"/>
      <c r="V23" s="2" t="s">
        <v>78</v>
      </c>
      <c r="W23" s="2" t="s">
        <v>87</v>
      </c>
      <c r="X23" s="2" t="b">
        <v>0</v>
      </c>
      <c r="Y23" s="2" t="s">
        <v>64</v>
      </c>
      <c r="Z23" s="2" t="s">
        <v>64</v>
      </c>
      <c r="AA23" s="2"/>
      <c r="AB23" s="2" t="s">
        <v>45</v>
      </c>
      <c r="AC23" s="2" t="s">
        <v>80</v>
      </c>
      <c r="AD23" s="2" t="s">
        <v>81</v>
      </c>
      <c r="AE23" s="2"/>
      <c r="AF23" s="2" t="s">
        <v>54</v>
      </c>
      <c r="AG23" s="2"/>
      <c r="AH23" s="2"/>
      <c r="AI23" s="2" t="s">
        <v>54</v>
      </c>
      <c r="AJ23" s="2"/>
      <c r="AK23" s="2">
        <v>3</v>
      </c>
      <c r="AL23" s="2" t="s">
        <v>82</v>
      </c>
      <c r="AM23" s="2" t="s">
        <v>57</v>
      </c>
      <c r="AN23" s="2" t="s">
        <v>54</v>
      </c>
      <c r="AO23" s="2">
        <v>0</v>
      </c>
      <c r="AP23" s="2" t="s">
        <v>54</v>
      </c>
      <c r="AQ23" s="2" t="s">
        <v>58</v>
      </c>
    </row>
    <row r="24" spans="1:43" x14ac:dyDescent="0.2">
      <c r="A24" s="2">
        <v>198</v>
      </c>
      <c r="B24" s="2" t="s">
        <v>43</v>
      </c>
      <c r="C24" s="2" t="s">
        <v>44</v>
      </c>
      <c r="D24" s="2" t="s">
        <v>45</v>
      </c>
      <c r="E24" s="2"/>
      <c r="F24" s="2">
        <v>38325221</v>
      </c>
      <c r="G24" s="2" t="s">
        <v>46</v>
      </c>
      <c r="H24" s="3">
        <v>27341</v>
      </c>
      <c r="I24" s="2"/>
      <c r="J24" s="2" t="s">
        <v>122</v>
      </c>
      <c r="K24" s="2" t="s">
        <v>61</v>
      </c>
      <c r="L24" s="2"/>
      <c r="M24" s="2"/>
      <c r="N24" s="2"/>
      <c r="O24" s="2"/>
      <c r="P24" s="2"/>
      <c r="Q24" s="2">
        <v>44</v>
      </c>
      <c r="R24" s="2">
        <v>40</v>
      </c>
      <c r="S24" s="2" t="s">
        <v>50</v>
      </c>
      <c r="T24" s="2"/>
      <c r="U24" s="2"/>
      <c r="V24" s="2" t="s">
        <v>70</v>
      </c>
      <c r="W24" s="2" t="s">
        <v>52</v>
      </c>
      <c r="X24" s="2" t="b">
        <v>0</v>
      </c>
      <c r="Y24" s="2" t="s">
        <v>53</v>
      </c>
      <c r="Z24" s="2" t="s">
        <v>64</v>
      </c>
      <c r="AA24" s="2"/>
      <c r="AB24" s="2" t="s">
        <v>45</v>
      </c>
      <c r="AC24" s="2" t="s">
        <v>80</v>
      </c>
      <c r="AD24" s="2" t="s">
        <v>66</v>
      </c>
      <c r="AE24" s="2" t="s">
        <v>54</v>
      </c>
      <c r="AF24" s="2" t="s">
        <v>54</v>
      </c>
      <c r="AG24" s="2"/>
      <c r="AH24" s="2" t="s">
        <v>54</v>
      </c>
      <c r="AI24" s="2" t="s">
        <v>55</v>
      </c>
      <c r="AJ24" s="2"/>
      <c r="AK24" s="2">
        <v>4</v>
      </c>
      <c r="AL24" s="2" t="s">
        <v>68</v>
      </c>
      <c r="AM24" s="2" t="s">
        <v>57</v>
      </c>
      <c r="AN24" s="2" t="s">
        <v>54</v>
      </c>
      <c r="AO24" s="2">
        <v>0</v>
      </c>
      <c r="AP24" s="2" t="s">
        <v>54</v>
      </c>
      <c r="AQ24" s="2" t="s">
        <v>58</v>
      </c>
    </row>
    <row r="25" spans="1:43" x14ac:dyDescent="0.2">
      <c r="A25" s="2">
        <v>197</v>
      </c>
      <c r="B25" s="2" t="s">
        <v>43</v>
      </c>
      <c r="C25" s="2" t="s">
        <v>44</v>
      </c>
      <c r="D25" s="2" t="s">
        <v>45</v>
      </c>
      <c r="E25" s="2"/>
      <c r="F25" s="2">
        <v>38344404</v>
      </c>
      <c r="G25" s="2" t="s">
        <v>46</v>
      </c>
      <c r="H25" s="3">
        <v>22863</v>
      </c>
      <c r="I25" s="2" t="e">
        <f>- mettiamo classe piu bassa N2a, ma numero non conosciuto
- Relazione con la riflessione peritoneale anteriore: non mettere nulla se non specificato, a meno che non sia lesione bassa e sicuro al di sotto
-non avevi inserito numero depositi e linfonodo sospetto iliaco esterno</f>
        <v>#NAME?</v>
      </c>
      <c r="J25" s="2" t="s">
        <v>123</v>
      </c>
      <c r="K25" s="2" t="s">
        <v>61</v>
      </c>
      <c r="L25" s="2">
        <v>12</v>
      </c>
      <c r="M25" s="2">
        <v>9</v>
      </c>
      <c r="N25" s="2"/>
      <c r="O25" s="2"/>
      <c r="P25" s="2"/>
      <c r="Q25" s="2">
        <v>60</v>
      </c>
      <c r="R25" s="2">
        <v>60</v>
      </c>
      <c r="S25" s="2" t="s">
        <v>50</v>
      </c>
      <c r="T25" s="2"/>
      <c r="U25" s="2"/>
      <c r="V25" s="2" t="s">
        <v>70</v>
      </c>
      <c r="W25" s="2" t="s">
        <v>52</v>
      </c>
      <c r="X25" s="2" t="b">
        <v>1</v>
      </c>
      <c r="Y25" s="2" t="s">
        <v>64</v>
      </c>
      <c r="Z25" s="2"/>
      <c r="AA25" s="2" t="s">
        <v>124</v>
      </c>
      <c r="AB25" s="2" t="s">
        <v>45</v>
      </c>
      <c r="AC25" s="2"/>
      <c r="AD25" s="2" t="s">
        <v>66</v>
      </c>
      <c r="AE25" s="2" t="s">
        <v>54</v>
      </c>
      <c r="AF25" s="2" t="s">
        <v>54</v>
      </c>
      <c r="AG25" s="2"/>
      <c r="AH25" s="2"/>
      <c r="AI25" s="2" t="s">
        <v>54</v>
      </c>
      <c r="AJ25" s="2">
        <v>5</v>
      </c>
      <c r="AK25" s="2"/>
      <c r="AL25" s="2" t="s">
        <v>125</v>
      </c>
      <c r="AM25" s="2" t="s">
        <v>126</v>
      </c>
      <c r="AN25" s="2" t="s">
        <v>55</v>
      </c>
      <c r="AO25" s="2">
        <v>1</v>
      </c>
      <c r="AP25" s="2" t="s">
        <v>54</v>
      </c>
      <c r="AQ25" s="2" t="s">
        <v>58</v>
      </c>
    </row>
    <row r="26" spans="1:43" x14ac:dyDescent="0.2">
      <c r="A26" s="2">
        <v>196</v>
      </c>
      <c r="B26" s="2" t="s">
        <v>43</v>
      </c>
      <c r="C26" s="2" t="s">
        <v>44</v>
      </c>
      <c r="D26" s="2" t="s">
        <v>45</v>
      </c>
      <c r="E26" s="2"/>
      <c r="F26" s="2">
        <v>38459004</v>
      </c>
      <c r="G26" s="2" t="s">
        <v>46</v>
      </c>
      <c r="H26" s="3">
        <v>14289</v>
      </c>
      <c r="I26" s="2"/>
      <c r="J26" s="2" t="s">
        <v>127</v>
      </c>
      <c r="K26" s="2" t="s">
        <v>49</v>
      </c>
      <c r="L26" s="2"/>
      <c r="M26" s="2"/>
      <c r="N26" s="2"/>
      <c r="O26" s="2"/>
      <c r="P26" s="2"/>
      <c r="Q26" s="2">
        <v>44</v>
      </c>
      <c r="R26" s="2">
        <v>40</v>
      </c>
      <c r="S26" s="2" t="s">
        <v>50</v>
      </c>
      <c r="T26" s="2"/>
      <c r="U26" s="2"/>
      <c r="V26" s="2" t="s">
        <v>70</v>
      </c>
      <c r="W26" s="2" t="s">
        <v>87</v>
      </c>
      <c r="X26" s="2" t="b">
        <v>0</v>
      </c>
      <c r="Y26" s="2" t="s">
        <v>64</v>
      </c>
      <c r="Z26" s="2" t="s">
        <v>64</v>
      </c>
      <c r="AA26" s="2"/>
      <c r="AB26" s="2" t="s">
        <v>45</v>
      </c>
      <c r="AC26" s="2" t="s">
        <v>65</v>
      </c>
      <c r="AD26" s="2" t="s">
        <v>66</v>
      </c>
      <c r="AE26" s="2" t="s">
        <v>54</v>
      </c>
      <c r="AF26" s="2" t="s">
        <v>54</v>
      </c>
      <c r="AG26" s="2"/>
      <c r="AH26" s="2" t="s">
        <v>54</v>
      </c>
      <c r="AI26" s="2" t="s">
        <v>54</v>
      </c>
      <c r="AJ26" s="2"/>
      <c r="AK26" s="2">
        <v>3</v>
      </c>
      <c r="AL26" s="2" t="s">
        <v>82</v>
      </c>
      <c r="AM26" s="2" t="s">
        <v>57</v>
      </c>
      <c r="AN26" s="2" t="s">
        <v>54</v>
      </c>
      <c r="AO26" s="2">
        <v>0</v>
      </c>
      <c r="AP26" s="2" t="s">
        <v>54</v>
      </c>
      <c r="AQ26" s="2" t="s">
        <v>58</v>
      </c>
    </row>
    <row r="27" spans="1:43" x14ac:dyDescent="0.2">
      <c r="A27" s="2">
        <v>195</v>
      </c>
      <c r="B27" s="2" t="s">
        <v>43</v>
      </c>
      <c r="C27" s="2" t="s">
        <v>44</v>
      </c>
      <c r="D27" s="2" t="s">
        <v>45</v>
      </c>
      <c r="E27" s="2"/>
      <c r="F27" s="2">
        <v>38512315</v>
      </c>
      <c r="G27" s="2" t="s">
        <v>46</v>
      </c>
      <c r="H27" s="3">
        <v>18725</v>
      </c>
      <c r="I27" s="2"/>
      <c r="J27" s="2" t="s">
        <v>128</v>
      </c>
      <c r="K27" s="2" t="s">
        <v>61</v>
      </c>
      <c r="L27" s="2"/>
      <c r="M27" s="2"/>
      <c r="N27" s="2"/>
      <c r="O27" s="2"/>
      <c r="P27" s="2"/>
      <c r="Q27" s="2">
        <v>46</v>
      </c>
      <c r="R27" s="2">
        <v>30</v>
      </c>
      <c r="S27" s="2" t="s">
        <v>50</v>
      </c>
      <c r="T27" s="2"/>
      <c r="U27" s="2"/>
      <c r="V27" s="2" t="s">
        <v>63</v>
      </c>
      <c r="W27" s="2" t="s">
        <v>52</v>
      </c>
      <c r="X27" s="2" t="b">
        <v>0</v>
      </c>
      <c r="Y27" s="2" t="s">
        <v>53</v>
      </c>
      <c r="Z27" s="2" t="s">
        <v>53</v>
      </c>
      <c r="AA27" s="2"/>
      <c r="AB27" s="2" t="s">
        <v>45</v>
      </c>
      <c r="AC27" s="2" t="s">
        <v>80</v>
      </c>
      <c r="AD27" s="2" t="s">
        <v>66</v>
      </c>
      <c r="AE27" s="2" t="s">
        <v>54</v>
      </c>
      <c r="AF27" s="2" t="s">
        <v>55</v>
      </c>
      <c r="AG27" s="2" t="s">
        <v>129</v>
      </c>
      <c r="AH27" s="2" t="s">
        <v>54</v>
      </c>
      <c r="AI27" s="2" t="s">
        <v>55</v>
      </c>
      <c r="AJ27" s="2"/>
      <c r="AK27" s="2">
        <v>4</v>
      </c>
      <c r="AL27" s="2" t="s">
        <v>82</v>
      </c>
      <c r="AM27" s="2" t="s">
        <v>57</v>
      </c>
      <c r="AN27" s="2" t="s">
        <v>54</v>
      </c>
      <c r="AO27" s="2">
        <v>0</v>
      </c>
      <c r="AP27" s="2" t="s">
        <v>55</v>
      </c>
      <c r="AQ27" s="2" t="s">
        <v>58</v>
      </c>
    </row>
    <row r="28" spans="1:43" x14ac:dyDescent="0.2">
      <c r="A28" s="2">
        <v>194</v>
      </c>
      <c r="B28" s="2" t="s">
        <v>43</v>
      </c>
      <c r="C28" s="2" t="s">
        <v>44</v>
      </c>
      <c r="D28" s="2" t="s">
        <v>45</v>
      </c>
      <c r="E28" s="2"/>
      <c r="F28" s="2">
        <v>38681292</v>
      </c>
      <c r="G28" s="2" t="s">
        <v>46</v>
      </c>
      <c r="H28" s="3">
        <v>25839</v>
      </c>
      <c r="I28" s="2"/>
      <c r="J28" s="2" t="s">
        <v>130</v>
      </c>
      <c r="K28" s="2" t="s">
        <v>61</v>
      </c>
      <c r="L28" s="2"/>
      <c r="M28" s="2"/>
      <c r="N28" s="2"/>
      <c r="O28" s="2"/>
      <c r="P28" s="2"/>
      <c r="Q28" s="2">
        <v>44</v>
      </c>
      <c r="R28" s="2">
        <v>55</v>
      </c>
      <c r="S28" s="2" t="s">
        <v>76</v>
      </c>
      <c r="T28" s="2"/>
      <c r="U28" s="2"/>
      <c r="V28" s="2" t="s">
        <v>51</v>
      </c>
      <c r="W28" s="2" t="s">
        <v>52</v>
      </c>
      <c r="X28" s="2" t="b">
        <v>0</v>
      </c>
      <c r="Y28" s="2" t="s">
        <v>53</v>
      </c>
      <c r="Z28" s="2" t="s">
        <v>53</v>
      </c>
      <c r="AA28" s="2"/>
      <c r="AB28" s="2" t="s">
        <v>45</v>
      </c>
      <c r="AC28" s="2" t="s">
        <v>65</v>
      </c>
      <c r="AD28" s="2" t="s">
        <v>66</v>
      </c>
      <c r="AE28" s="2" t="s">
        <v>54</v>
      </c>
      <c r="AF28" s="2" t="s">
        <v>54</v>
      </c>
      <c r="AG28" s="2"/>
      <c r="AH28" s="2" t="s">
        <v>55</v>
      </c>
      <c r="AI28" s="2" t="s">
        <v>55</v>
      </c>
      <c r="AJ28" s="2"/>
      <c r="AK28" s="2">
        <v>4</v>
      </c>
      <c r="AL28" s="2" t="s">
        <v>131</v>
      </c>
      <c r="AM28" s="2" t="s">
        <v>57</v>
      </c>
      <c r="AN28" s="2" t="s">
        <v>54</v>
      </c>
      <c r="AO28" s="2">
        <v>0</v>
      </c>
      <c r="AP28" s="2" t="s">
        <v>55</v>
      </c>
      <c r="AQ28" s="2" t="s">
        <v>58</v>
      </c>
    </row>
    <row r="29" spans="1:43" x14ac:dyDescent="0.2">
      <c r="A29" s="2">
        <v>193</v>
      </c>
      <c r="B29" s="2" t="s">
        <v>43</v>
      </c>
      <c r="C29" s="2" t="s">
        <v>44</v>
      </c>
      <c r="D29" s="2" t="s">
        <v>45</v>
      </c>
      <c r="E29" s="2"/>
      <c r="F29" s="2">
        <v>38725461</v>
      </c>
      <c r="G29" s="2" t="s">
        <v>46</v>
      </c>
      <c r="H29" s="3">
        <v>20076</v>
      </c>
      <c r="I29" s="2"/>
      <c r="J29" s="2" t="s">
        <v>132</v>
      </c>
      <c r="K29" s="2" t="s">
        <v>61</v>
      </c>
      <c r="L29" s="2"/>
      <c r="M29" s="2"/>
      <c r="N29" s="2"/>
      <c r="O29" s="2"/>
      <c r="P29" s="2"/>
      <c r="Q29" s="2">
        <v>73</v>
      </c>
      <c r="R29" s="2">
        <v>52</v>
      </c>
      <c r="S29" s="2" t="s">
        <v>62</v>
      </c>
      <c r="T29" s="2"/>
      <c r="U29" s="2"/>
      <c r="V29" s="2" t="s">
        <v>51</v>
      </c>
      <c r="W29" s="2" t="s">
        <v>87</v>
      </c>
      <c r="X29" s="2" t="b">
        <v>0</v>
      </c>
      <c r="Y29" s="2" t="s">
        <v>53</v>
      </c>
      <c r="Z29" s="2" t="s">
        <v>64</v>
      </c>
      <c r="AA29" s="2"/>
      <c r="AB29" s="2" t="s">
        <v>45</v>
      </c>
      <c r="AC29" s="2" t="s">
        <v>65</v>
      </c>
      <c r="AD29" s="2" t="s">
        <v>66</v>
      </c>
      <c r="AE29" s="2" t="s">
        <v>54</v>
      </c>
      <c r="AF29" s="2" t="s">
        <v>54</v>
      </c>
      <c r="AG29" s="2"/>
      <c r="AH29" s="2" t="s">
        <v>55</v>
      </c>
      <c r="AI29" s="2" t="s">
        <v>55</v>
      </c>
      <c r="AJ29" s="2"/>
      <c r="AK29" s="2">
        <v>3</v>
      </c>
      <c r="AL29" s="2" t="s">
        <v>68</v>
      </c>
      <c r="AM29" s="2" t="s">
        <v>57</v>
      </c>
      <c r="AN29" s="2" t="s">
        <v>54</v>
      </c>
      <c r="AO29" s="2">
        <v>0</v>
      </c>
      <c r="AP29" s="2" t="s">
        <v>54</v>
      </c>
      <c r="AQ29" s="2" t="s">
        <v>58</v>
      </c>
    </row>
    <row r="30" spans="1:43" x14ac:dyDescent="0.2">
      <c r="A30" s="2">
        <v>192</v>
      </c>
      <c r="B30" s="2" t="s">
        <v>43</v>
      </c>
      <c r="C30" s="2" t="s">
        <v>44</v>
      </c>
      <c r="D30" s="2" t="s">
        <v>45</v>
      </c>
      <c r="E30" s="2"/>
      <c r="F30" s="2">
        <v>38751343</v>
      </c>
      <c r="G30" s="2" t="s">
        <v>46</v>
      </c>
      <c r="H30" s="3">
        <v>23356</v>
      </c>
      <c r="I30" s="2"/>
      <c r="J30" s="2" t="s">
        <v>133</v>
      </c>
      <c r="K30" s="2" t="s">
        <v>49</v>
      </c>
      <c r="L30" s="2"/>
      <c r="M30" s="2"/>
      <c r="N30" s="2"/>
      <c r="O30" s="2"/>
      <c r="P30" s="2"/>
      <c r="Q30" s="2">
        <v>40</v>
      </c>
      <c r="R30" s="2">
        <v>40</v>
      </c>
      <c r="S30" s="2" t="s">
        <v>50</v>
      </c>
      <c r="T30" s="2"/>
      <c r="U30" s="2"/>
      <c r="V30" s="2" t="s">
        <v>70</v>
      </c>
      <c r="W30" s="2" t="s">
        <v>87</v>
      </c>
      <c r="X30" s="2" t="b">
        <v>0</v>
      </c>
      <c r="Y30" s="2" t="s">
        <v>53</v>
      </c>
      <c r="Z30" s="2" t="s">
        <v>64</v>
      </c>
      <c r="AA30" s="2"/>
      <c r="AB30" s="2" t="s">
        <v>45</v>
      </c>
      <c r="AC30" s="2" t="s">
        <v>80</v>
      </c>
      <c r="AD30" s="2" t="s">
        <v>66</v>
      </c>
      <c r="AE30" s="2"/>
      <c r="AF30" s="2" t="s">
        <v>54</v>
      </c>
      <c r="AG30" s="2"/>
      <c r="AH30" s="2" t="s">
        <v>54</v>
      </c>
      <c r="AI30" s="2" t="s">
        <v>55</v>
      </c>
      <c r="AJ30" s="2">
        <v>1</v>
      </c>
      <c r="AK30" s="2">
        <v>3</v>
      </c>
      <c r="AL30" s="2" t="s">
        <v>82</v>
      </c>
      <c r="AM30" s="2" t="s">
        <v>57</v>
      </c>
      <c r="AN30" s="2" t="s">
        <v>54</v>
      </c>
      <c r="AO30" s="2">
        <v>0</v>
      </c>
      <c r="AP30" s="2" t="s">
        <v>54</v>
      </c>
      <c r="AQ30" s="2" t="s">
        <v>58</v>
      </c>
    </row>
    <row r="31" spans="1:43" x14ac:dyDescent="0.2">
      <c r="A31" s="2">
        <v>191</v>
      </c>
      <c r="B31" s="2" t="s">
        <v>43</v>
      </c>
      <c r="C31" s="2" t="s">
        <v>44</v>
      </c>
      <c r="D31" s="2" t="s">
        <v>45</v>
      </c>
      <c r="E31" s="2"/>
      <c r="F31" s="2">
        <v>38758553</v>
      </c>
      <c r="G31" s="2" t="s">
        <v>46</v>
      </c>
      <c r="H31" s="3">
        <v>18756</v>
      </c>
      <c r="I31" s="2"/>
      <c r="J31" s="2" t="s">
        <v>134</v>
      </c>
      <c r="K31" s="2" t="s">
        <v>49</v>
      </c>
      <c r="L31" s="2"/>
      <c r="M31" s="2"/>
      <c r="N31" s="2"/>
      <c r="O31" s="2"/>
      <c r="P31" s="2"/>
      <c r="Q31" s="2">
        <v>42</v>
      </c>
      <c r="R31" s="2">
        <v>55</v>
      </c>
      <c r="S31" s="2" t="s">
        <v>50</v>
      </c>
      <c r="T31" s="2"/>
      <c r="U31" s="2"/>
      <c r="V31" s="2" t="s">
        <v>70</v>
      </c>
      <c r="W31" s="2" t="s">
        <v>52</v>
      </c>
      <c r="X31" s="2" t="b">
        <v>0</v>
      </c>
      <c r="Y31" s="2" t="s">
        <v>53</v>
      </c>
      <c r="Z31" s="2" t="s">
        <v>64</v>
      </c>
      <c r="AA31" s="2"/>
      <c r="AB31" s="2" t="s">
        <v>45</v>
      </c>
      <c r="AC31" s="2"/>
      <c r="AD31" s="2" t="s">
        <v>66</v>
      </c>
      <c r="AE31" s="2" t="s">
        <v>54</v>
      </c>
      <c r="AF31" s="2" t="s">
        <v>54</v>
      </c>
      <c r="AG31" s="2"/>
      <c r="AH31" s="2" t="s">
        <v>54</v>
      </c>
      <c r="AI31" s="2" t="s">
        <v>55</v>
      </c>
      <c r="AJ31" s="2"/>
      <c r="AK31" s="2">
        <v>4</v>
      </c>
      <c r="AL31" s="2" t="s">
        <v>82</v>
      </c>
      <c r="AM31" s="2" t="s">
        <v>57</v>
      </c>
      <c r="AN31" s="2" t="s">
        <v>54</v>
      </c>
      <c r="AO31" s="2">
        <v>0</v>
      </c>
      <c r="AP31" s="2" t="s">
        <v>54</v>
      </c>
      <c r="AQ31" s="2" t="s">
        <v>58</v>
      </c>
    </row>
    <row r="32" spans="1:43" x14ac:dyDescent="0.2">
      <c r="A32" s="2">
        <v>190</v>
      </c>
      <c r="B32" s="2" t="s">
        <v>43</v>
      </c>
      <c r="C32" s="2" t="s">
        <v>44</v>
      </c>
      <c r="D32" s="2" t="s">
        <v>45</v>
      </c>
      <c r="E32" s="2"/>
      <c r="F32" s="2">
        <v>38788436</v>
      </c>
      <c r="G32" s="2" t="s">
        <v>59</v>
      </c>
      <c r="H32" s="3">
        <v>16921</v>
      </c>
      <c r="I32" s="2"/>
      <c r="J32" s="2" t="s">
        <v>135</v>
      </c>
      <c r="K32" s="2" t="s">
        <v>49</v>
      </c>
      <c r="L32" s="2"/>
      <c r="M32" s="2"/>
      <c r="N32" s="2"/>
      <c r="O32" s="2"/>
      <c r="P32" s="2"/>
      <c r="Q32" s="2">
        <v>35</v>
      </c>
      <c r="R32" s="2">
        <v>10</v>
      </c>
      <c r="S32" s="2" t="s">
        <v>76</v>
      </c>
      <c r="T32" s="2"/>
      <c r="U32" s="2"/>
      <c r="V32" s="2" t="s">
        <v>78</v>
      </c>
      <c r="W32" s="2" t="s">
        <v>136</v>
      </c>
      <c r="X32" s="2" t="b">
        <v>0</v>
      </c>
      <c r="Y32" s="2" t="s">
        <v>64</v>
      </c>
      <c r="Z32" s="2" t="s">
        <v>64</v>
      </c>
      <c r="AA32" s="2"/>
      <c r="AB32" s="2" t="s">
        <v>45</v>
      </c>
      <c r="AC32" s="2" t="s">
        <v>80</v>
      </c>
      <c r="AD32" s="2" t="s">
        <v>81</v>
      </c>
      <c r="AE32" s="2" t="s">
        <v>54</v>
      </c>
      <c r="AF32" s="2" t="s">
        <v>54</v>
      </c>
      <c r="AG32" s="2"/>
      <c r="AH32" s="2" t="s">
        <v>54</v>
      </c>
      <c r="AI32" s="2" t="s">
        <v>54</v>
      </c>
      <c r="AJ32" s="2"/>
      <c r="AK32" s="2">
        <v>1</v>
      </c>
      <c r="AL32" s="2" t="s">
        <v>82</v>
      </c>
      <c r="AM32" s="2" t="s">
        <v>57</v>
      </c>
      <c r="AN32" s="2" t="s">
        <v>54</v>
      </c>
      <c r="AO32" s="2">
        <v>0</v>
      </c>
      <c r="AP32" s="2" t="s">
        <v>54</v>
      </c>
      <c r="AQ32" s="2" t="s">
        <v>58</v>
      </c>
    </row>
    <row r="33" spans="1:43" x14ac:dyDescent="0.2">
      <c r="A33" s="2">
        <v>189</v>
      </c>
      <c r="B33" s="2" t="s">
        <v>43</v>
      </c>
      <c r="C33" s="2" t="s">
        <v>44</v>
      </c>
      <c r="D33" s="2" t="s">
        <v>45</v>
      </c>
      <c r="E33" s="2"/>
      <c r="F33" s="2">
        <v>39225461</v>
      </c>
      <c r="G33" s="2" t="s">
        <v>46</v>
      </c>
      <c r="H33" s="3">
        <v>18213</v>
      </c>
      <c r="I33" s="2"/>
      <c r="J33" s="2" t="s">
        <v>137</v>
      </c>
      <c r="K33" s="2" t="s">
        <v>61</v>
      </c>
      <c r="L33" s="2"/>
      <c r="M33" s="2"/>
      <c r="N33" s="2"/>
      <c r="O33" s="2"/>
      <c r="P33" s="2">
        <v>60</v>
      </c>
      <c r="Q33" s="2">
        <v>50</v>
      </c>
      <c r="R33" s="2">
        <v>7</v>
      </c>
      <c r="S33" s="2" t="s">
        <v>62</v>
      </c>
      <c r="T33" s="2"/>
      <c r="U33" s="2"/>
      <c r="V33" s="2" t="s">
        <v>78</v>
      </c>
      <c r="W33" s="2" t="s">
        <v>79</v>
      </c>
      <c r="X33" s="2" t="b">
        <v>0</v>
      </c>
      <c r="Y33" s="2" t="s">
        <v>64</v>
      </c>
      <c r="Z33" s="2"/>
      <c r="AA33" s="2"/>
      <c r="AB33" s="2" t="s">
        <v>45</v>
      </c>
      <c r="AC33" s="2" t="s">
        <v>65</v>
      </c>
      <c r="AD33" s="2" t="s">
        <v>81</v>
      </c>
      <c r="AE33" s="2" t="s">
        <v>54</v>
      </c>
      <c r="AF33" s="2" t="s">
        <v>54</v>
      </c>
      <c r="AG33" s="2"/>
      <c r="AH33" s="2" t="s">
        <v>54</v>
      </c>
      <c r="AI33" s="2" t="s">
        <v>54</v>
      </c>
      <c r="AJ33" s="2"/>
      <c r="AK33" s="2">
        <v>0</v>
      </c>
      <c r="AL33" s="2" t="s">
        <v>57</v>
      </c>
      <c r="AM33" s="2" t="s">
        <v>57</v>
      </c>
      <c r="AN33" s="2"/>
      <c r="AO33" s="2">
        <v>0</v>
      </c>
      <c r="AP33" s="2" t="s">
        <v>54</v>
      </c>
      <c r="AQ33" s="2" t="s">
        <v>58</v>
      </c>
    </row>
    <row r="34" spans="1:43" x14ac:dyDescent="0.2">
      <c r="A34" s="2">
        <v>188</v>
      </c>
      <c r="B34" s="2" t="s">
        <v>43</v>
      </c>
      <c r="C34" s="2" t="s">
        <v>44</v>
      </c>
      <c r="D34" s="2" t="s">
        <v>45</v>
      </c>
      <c r="E34" s="2"/>
      <c r="F34" s="2">
        <v>39416136</v>
      </c>
      <c r="G34" s="2" t="s">
        <v>46</v>
      </c>
      <c r="H34" s="3">
        <v>14723</v>
      </c>
      <c r="I34" s="2"/>
      <c r="J34" s="2" t="s">
        <v>138</v>
      </c>
      <c r="K34" s="2" t="s">
        <v>61</v>
      </c>
      <c r="L34" s="2"/>
      <c r="M34" s="2"/>
      <c r="N34" s="2"/>
      <c r="O34" s="2"/>
      <c r="P34" s="2"/>
      <c r="Q34" s="2">
        <v>50</v>
      </c>
      <c r="R34" s="2">
        <v>60</v>
      </c>
      <c r="S34" s="2" t="s">
        <v>62</v>
      </c>
      <c r="T34" s="2"/>
      <c r="U34" s="2"/>
      <c r="V34" s="2" t="s">
        <v>51</v>
      </c>
      <c r="W34" s="2" t="s">
        <v>52</v>
      </c>
      <c r="X34" s="2" t="b">
        <v>0</v>
      </c>
      <c r="Y34" s="2" t="s">
        <v>53</v>
      </c>
      <c r="Z34" s="2" t="s">
        <v>53</v>
      </c>
      <c r="AA34" s="2"/>
      <c r="AB34" s="2" t="s">
        <v>45</v>
      </c>
      <c r="AC34" s="2" t="s">
        <v>65</v>
      </c>
      <c r="AD34" s="2" t="s">
        <v>66</v>
      </c>
      <c r="AE34" s="2" t="s">
        <v>54</v>
      </c>
      <c r="AF34" s="2" t="s">
        <v>54</v>
      </c>
      <c r="AG34" s="2"/>
      <c r="AH34" s="2" t="s">
        <v>55</v>
      </c>
      <c r="AI34" s="2" t="s">
        <v>55</v>
      </c>
      <c r="AJ34" s="2"/>
      <c r="AK34" s="2">
        <v>4</v>
      </c>
      <c r="AL34" s="2" t="s">
        <v>139</v>
      </c>
      <c r="AM34" s="2" t="s">
        <v>57</v>
      </c>
      <c r="AN34" s="2" t="s">
        <v>54</v>
      </c>
      <c r="AO34" s="2">
        <v>0</v>
      </c>
      <c r="AP34" s="2" t="s">
        <v>55</v>
      </c>
      <c r="AQ34" s="2" t="s">
        <v>58</v>
      </c>
    </row>
    <row r="35" spans="1:43" x14ac:dyDescent="0.2">
      <c r="A35" s="2">
        <v>187</v>
      </c>
      <c r="B35" s="2" t="s">
        <v>43</v>
      </c>
      <c r="C35" s="2" t="s">
        <v>44</v>
      </c>
      <c r="D35" s="2" t="s">
        <v>45</v>
      </c>
      <c r="E35" s="2"/>
      <c r="F35" s="2">
        <v>39448311</v>
      </c>
      <c r="G35" s="2" t="s">
        <v>46</v>
      </c>
      <c r="H35" s="3">
        <v>19049</v>
      </c>
      <c r="I35" s="2"/>
      <c r="J35" s="2" t="s">
        <v>140</v>
      </c>
      <c r="K35" s="2" t="s">
        <v>49</v>
      </c>
      <c r="L35" s="2">
        <v>11</v>
      </c>
      <c r="M35" s="2">
        <v>6</v>
      </c>
      <c r="N35" s="2"/>
      <c r="O35" s="2"/>
      <c r="P35" s="2"/>
      <c r="Q35" s="2">
        <v>85</v>
      </c>
      <c r="R35" s="2"/>
      <c r="S35" s="2" t="s">
        <v>50</v>
      </c>
      <c r="T35" s="2"/>
      <c r="U35" s="2"/>
      <c r="V35" s="2" t="s">
        <v>70</v>
      </c>
      <c r="W35" s="2" t="s">
        <v>52</v>
      </c>
      <c r="X35" s="2" t="b">
        <v>0</v>
      </c>
      <c r="Y35" s="2" t="s">
        <v>53</v>
      </c>
      <c r="Z35" s="2" t="s">
        <v>64</v>
      </c>
      <c r="AA35" s="2"/>
      <c r="AB35" s="2" t="s">
        <v>45</v>
      </c>
      <c r="AC35" s="2" t="s">
        <v>65</v>
      </c>
      <c r="AD35" s="2" t="s">
        <v>66</v>
      </c>
      <c r="AE35" s="2" t="s">
        <v>54</v>
      </c>
      <c r="AF35" s="2" t="s">
        <v>54</v>
      </c>
      <c r="AG35" s="2"/>
      <c r="AH35" s="2" t="s">
        <v>54</v>
      </c>
      <c r="AI35" s="2" t="s">
        <v>55</v>
      </c>
      <c r="AJ35" s="2"/>
      <c r="AK35" s="2">
        <v>5</v>
      </c>
      <c r="AL35" s="2" t="s">
        <v>68</v>
      </c>
      <c r="AM35" s="2" t="s">
        <v>57</v>
      </c>
      <c r="AN35" s="2" t="s">
        <v>54</v>
      </c>
      <c r="AO35" s="2">
        <v>0</v>
      </c>
      <c r="AP35" s="2" t="s">
        <v>54</v>
      </c>
      <c r="AQ35" s="2" t="s">
        <v>58</v>
      </c>
    </row>
    <row r="36" spans="1:43" x14ac:dyDescent="0.2">
      <c r="A36" s="2">
        <v>186</v>
      </c>
      <c r="B36" s="2" t="s">
        <v>43</v>
      </c>
      <c r="C36" s="2" t="s">
        <v>44</v>
      </c>
      <c r="D36" s="2" t="s">
        <v>45</v>
      </c>
      <c r="E36" s="2"/>
      <c r="F36" s="2">
        <v>39541917</v>
      </c>
      <c r="G36" s="2" t="s">
        <v>46</v>
      </c>
      <c r="H36" s="3">
        <v>13211</v>
      </c>
      <c r="I36" s="2"/>
      <c r="J36" s="2" t="s">
        <v>141</v>
      </c>
      <c r="K36" s="2" t="s">
        <v>61</v>
      </c>
      <c r="L36" s="2"/>
      <c r="M36" s="2"/>
      <c r="N36" s="2"/>
      <c r="O36" s="2"/>
      <c r="P36" s="2"/>
      <c r="Q36" s="2">
        <v>60</v>
      </c>
      <c r="R36" s="2">
        <v>53</v>
      </c>
      <c r="S36" s="2" t="s">
        <v>62</v>
      </c>
      <c r="T36" s="2"/>
      <c r="U36" s="2"/>
      <c r="V36" s="2" t="s">
        <v>51</v>
      </c>
      <c r="W36" s="2" t="s">
        <v>52</v>
      </c>
      <c r="X36" s="2" t="b">
        <v>0</v>
      </c>
      <c r="Y36" s="2" t="s">
        <v>53</v>
      </c>
      <c r="Z36" s="2" t="s">
        <v>53</v>
      </c>
      <c r="AA36" s="2"/>
      <c r="AB36" s="2" t="s">
        <v>45</v>
      </c>
      <c r="AC36" s="2" t="s">
        <v>65</v>
      </c>
      <c r="AD36" s="2" t="s">
        <v>66</v>
      </c>
      <c r="AE36" s="2" t="s">
        <v>54</v>
      </c>
      <c r="AF36" s="2" t="s">
        <v>54</v>
      </c>
      <c r="AG36" s="2"/>
      <c r="AH36" s="2" t="s">
        <v>55</v>
      </c>
      <c r="AI36" s="2" t="s">
        <v>55</v>
      </c>
      <c r="AJ36" s="2"/>
      <c r="AK36" s="2">
        <v>4</v>
      </c>
      <c r="AL36" s="2" t="s">
        <v>142</v>
      </c>
      <c r="AM36" s="2" t="s">
        <v>57</v>
      </c>
      <c r="AN36" s="2"/>
      <c r="AO36" s="2">
        <v>0</v>
      </c>
      <c r="AP36" s="2" t="s">
        <v>55</v>
      </c>
      <c r="AQ36" s="2" t="s">
        <v>58</v>
      </c>
    </row>
    <row r="37" spans="1:43" x14ac:dyDescent="0.2">
      <c r="A37" s="2">
        <v>185</v>
      </c>
      <c r="B37" s="2" t="s">
        <v>43</v>
      </c>
      <c r="C37" s="2" t="s">
        <v>44</v>
      </c>
      <c r="D37" s="2" t="s">
        <v>45</v>
      </c>
      <c r="E37" s="2"/>
      <c r="F37" s="2">
        <v>39582770</v>
      </c>
      <c r="G37" s="2" t="s">
        <v>46</v>
      </c>
      <c r="H37" s="3">
        <v>17601</v>
      </c>
      <c r="I37" s="2"/>
      <c r="J37" s="2" t="s">
        <v>143</v>
      </c>
      <c r="K37" s="2"/>
      <c r="L37" s="2"/>
      <c r="M37" s="2"/>
      <c r="N37" s="2"/>
      <c r="O37" s="2"/>
      <c r="P37" s="2"/>
      <c r="Q37" s="2">
        <v>69</v>
      </c>
      <c r="R37" s="2">
        <v>70</v>
      </c>
      <c r="S37" s="2" t="s">
        <v>50</v>
      </c>
      <c r="T37" s="2"/>
      <c r="U37" s="2"/>
      <c r="V37" s="2" t="s">
        <v>63</v>
      </c>
      <c r="W37" s="2" t="s">
        <v>52</v>
      </c>
      <c r="X37" s="2" t="b">
        <v>0</v>
      </c>
      <c r="Y37" s="2" t="s">
        <v>53</v>
      </c>
      <c r="Z37" s="2" t="s">
        <v>64</v>
      </c>
      <c r="AA37" s="2"/>
      <c r="AB37" s="2" t="s">
        <v>45</v>
      </c>
      <c r="AC37" s="2" t="s">
        <v>65</v>
      </c>
      <c r="AD37" s="2" t="s">
        <v>54</v>
      </c>
      <c r="AE37" s="2" t="s">
        <v>54</v>
      </c>
      <c r="AF37" s="2" t="s">
        <v>88</v>
      </c>
      <c r="AG37" s="2" t="s">
        <v>144</v>
      </c>
      <c r="AH37" s="2" t="s">
        <v>55</v>
      </c>
      <c r="AI37" s="2" t="s">
        <v>55</v>
      </c>
      <c r="AJ37" s="2"/>
      <c r="AK37" s="2">
        <v>4</v>
      </c>
      <c r="AL37" s="2" t="s">
        <v>68</v>
      </c>
      <c r="AM37" s="2" t="s">
        <v>57</v>
      </c>
      <c r="AN37" s="2"/>
      <c r="AO37" s="2">
        <v>0</v>
      </c>
      <c r="AP37" s="2" t="s">
        <v>54</v>
      </c>
      <c r="AQ37" s="2" t="s">
        <v>58</v>
      </c>
    </row>
    <row r="38" spans="1:43" x14ac:dyDescent="0.2">
      <c r="A38" s="2">
        <v>184</v>
      </c>
      <c r="B38" s="2" t="s">
        <v>43</v>
      </c>
      <c r="C38" s="2" t="s">
        <v>145</v>
      </c>
      <c r="D38" s="2" t="s">
        <v>45</v>
      </c>
      <c r="E38" s="2"/>
      <c r="F38" s="2">
        <v>39642848</v>
      </c>
      <c r="G38" s="2" t="s">
        <v>46</v>
      </c>
      <c r="H38" s="3">
        <v>13277</v>
      </c>
      <c r="I38" s="2"/>
      <c r="J38" s="2" t="s">
        <v>146</v>
      </c>
      <c r="K38" s="2" t="s">
        <v>61</v>
      </c>
      <c r="L38" s="2"/>
      <c r="M38" s="2"/>
      <c r="N38" s="2"/>
      <c r="O38" s="2"/>
      <c r="P38" s="2"/>
      <c r="Q38" s="2">
        <v>56</v>
      </c>
      <c r="R38" s="2">
        <v>58</v>
      </c>
      <c r="S38" s="2" t="s">
        <v>62</v>
      </c>
      <c r="T38" s="2" t="s">
        <v>54</v>
      </c>
      <c r="U38" s="2" t="s">
        <v>54</v>
      </c>
      <c r="V38" s="2" t="s">
        <v>70</v>
      </c>
      <c r="W38" s="2" t="s">
        <v>52</v>
      </c>
      <c r="X38" s="2" t="b">
        <v>1</v>
      </c>
      <c r="Y38" s="2" t="s">
        <v>53</v>
      </c>
      <c r="Z38" s="2" t="s">
        <v>53</v>
      </c>
      <c r="AA38" s="2" t="s">
        <v>147</v>
      </c>
      <c r="AB38" s="2" t="s">
        <v>45</v>
      </c>
      <c r="AC38" s="2" t="s">
        <v>65</v>
      </c>
      <c r="AD38" s="2" t="s">
        <v>66</v>
      </c>
      <c r="AE38" s="2" t="s">
        <v>54</v>
      </c>
      <c r="AF38" s="2" t="s">
        <v>54</v>
      </c>
      <c r="AG38" s="2"/>
      <c r="AH38" s="2" t="s">
        <v>54</v>
      </c>
      <c r="AI38" s="2" t="s">
        <v>55</v>
      </c>
      <c r="AJ38" s="2"/>
      <c r="AK38" s="2">
        <v>5</v>
      </c>
      <c r="AL38" s="2" t="s">
        <v>68</v>
      </c>
      <c r="AM38" s="2" t="s">
        <v>57</v>
      </c>
      <c r="AN38" s="2" t="s">
        <v>55</v>
      </c>
      <c r="AO38" s="2">
        <v>0</v>
      </c>
      <c r="AP38" s="2" t="s">
        <v>55</v>
      </c>
      <c r="AQ38" s="2" t="s">
        <v>58</v>
      </c>
    </row>
    <row r="39" spans="1:43" x14ac:dyDescent="0.2">
      <c r="A39" s="2">
        <v>183</v>
      </c>
      <c r="B39" s="2" t="s">
        <v>43</v>
      </c>
      <c r="C39" s="2" t="s">
        <v>145</v>
      </c>
      <c r="D39" s="2" t="s">
        <v>45</v>
      </c>
      <c r="E39" s="2"/>
      <c r="F39" s="2">
        <v>39704077</v>
      </c>
      <c r="G39" s="2" t="s">
        <v>46</v>
      </c>
      <c r="H39" s="3">
        <v>23876</v>
      </c>
      <c r="I39" s="2"/>
      <c r="J39" s="2" t="s">
        <v>148</v>
      </c>
      <c r="K39" s="2" t="s">
        <v>49</v>
      </c>
      <c r="L39" s="2"/>
      <c r="M39" s="2"/>
      <c r="N39" s="2"/>
      <c r="O39" s="2"/>
      <c r="P39" s="2">
        <v>6</v>
      </c>
      <c r="Q39" s="2">
        <v>85</v>
      </c>
      <c r="R39" s="2">
        <v>15</v>
      </c>
      <c r="S39" s="2" t="s">
        <v>50</v>
      </c>
      <c r="T39" s="2" t="s">
        <v>54</v>
      </c>
      <c r="U39" s="2" t="s">
        <v>54</v>
      </c>
      <c r="V39" s="2" t="s">
        <v>63</v>
      </c>
      <c r="W39" s="2" t="s">
        <v>52</v>
      </c>
      <c r="X39" s="2" t="b">
        <v>1</v>
      </c>
      <c r="Y39" s="2" t="s">
        <v>53</v>
      </c>
      <c r="Z39" s="2" t="s">
        <v>53</v>
      </c>
      <c r="AA39" s="2" t="s">
        <v>147</v>
      </c>
      <c r="AB39" s="2" t="s">
        <v>45</v>
      </c>
      <c r="AC39" s="2" t="s">
        <v>65</v>
      </c>
      <c r="AD39" s="2" t="s">
        <v>66</v>
      </c>
      <c r="AE39" s="2" t="s">
        <v>54</v>
      </c>
      <c r="AF39" s="2" t="s">
        <v>88</v>
      </c>
      <c r="AG39" s="2" t="s">
        <v>149</v>
      </c>
      <c r="AH39" s="2"/>
      <c r="AI39" s="2" t="s">
        <v>55</v>
      </c>
      <c r="AJ39" s="2">
        <v>11</v>
      </c>
      <c r="AK39" s="2">
        <v>4</v>
      </c>
      <c r="AL39" s="2" t="s">
        <v>150</v>
      </c>
      <c r="AM39" s="2" t="s">
        <v>57</v>
      </c>
      <c r="AN39" s="2" t="s">
        <v>55</v>
      </c>
      <c r="AO39" s="2">
        <v>0</v>
      </c>
      <c r="AP39" s="2" t="s">
        <v>55</v>
      </c>
      <c r="AQ39" s="2" t="s">
        <v>58</v>
      </c>
    </row>
    <row r="40" spans="1:43" x14ac:dyDescent="0.2">
      <c r="A40" s="2">
        <v>182</v>
      </c>
      <c r="B40" s="2" t="s">
        <v>43</v>
      </c>
      <c r="C40" s="2" t="s">
        <v>44</v>
      </c>
      <c r="D40" s="2" t="s">
        <v>45</v>
      </c>
      <c r="E40" s="2"/>
      <c r="F40" s="2">
        <v>39948344</v>
      </c>
      <c r="G40" s="2" t="s">
        <v>46</v>
      </c>
      <c r="H40" s="3">
        <v>15176</v>
      </c>
      <c r="I40" s="2"/>
      <c r="J40" s="2" t="s">
        <v>151</v>
      </c>
      <c r="K40" s="2" t="s">
        <v>61</v>
      </c>
      <c r="L40" s="2">
        <v>12</v>
      </c>
      <c r="M40" s="2">
        <v>5</v>
      </c>
      <c r="N40" s="2"/>
      <c r="O40" s="2"/>
      <c r="P40" s="2"/>
      <c r="Q40" s="2">
        <v>45</v>
      </c>
      <c r="R40" s="2">
        <v>20</v>
      </c>
      <c r="S40" s="2" t="s">
        <v>76</v>
      </c>
      <c r="T40" s="2"/>
      <c r="U40" s="2"/>
      <c r="V40" s="2" t="s">
        <v>63</v>
      </c>
      <c r="W40" s="2" t="s">
        <v>87</v>
      </c>
      <c r="X40" s="2" t="b">
        <v>0</v>
      </c>
      <c r="Y40" s="2" t="s">
        <v>53</v>
      </c>
      <c r="Z40" s="2" t="s">
        <v>64</v>
      </c>
      <c r="AA40" s="2"/>
      <c r="AB40" s="2" t="s">
        <v>45</v>
      </c>
      <c r="AC40" s="2" t="s">
        <v>80</v>
      </c>
      <c r="AD40" s="2" t="s">
        <v>66</v>
      </c>
      <c r="AE40" s="2" t="s">
        <v>54</v>
      </c>
      <c r="AF40" s="2" t="s">
        <v>55</v>
      </c>
      <c r="AG40" s="2" t="s">
        <v>152</v>
      </c>
      <c r="AH40" s="2" t="s">
        <v>54</v>
      </c>
      <c r="AI40" s="2" t="s">
        <v>55</v>
      </c>
      <c r="AJ40" s="2"/>
      <c r="AK40" s="2">
        <v>3</v>
      </c>
      <c r="AL40" s="2" t="s">
        <v>131</v>
      </c>
      <c r="AM40" s="2" t="s">
        <v>57</v>
      </c>
      <c r="AN40" s="2" t="s">
        <v>54</v>
      </c>
      <c r="AO40" s="2">
        <v>0</v>
      </c>
      <c r="AP40" s="2" t="s">
        <v>54</v>
      </c>
      <c r="AQ40" s="2" t="s">
        <v>58</v>
      </c>
    </row>
    <row r="41" spans="1:43" x14ac:dyDescent="0.2">
      <c r="A41" s="2">
        <v>181</v>
      </c>
      <c r="B41" s="2" t="s">
        <v>43</v>
      </c>
      <c r="C41" s="2" t="s">
        <v>44</v>
      </c>
      <c r="D41" s="2" t="s">
        <v>45</v>
      </c>
      <c r="E41" s="2"/>
      <c r="F41" s="2">
        <v>39987292</v>
      </c>
      <c r="G41" s="2" t="s">
        <v>46</v>
      </c>
      <c r="H41" s="3">
        <v>11012</v>
      </c>
      <c r="I41" s="2"/>
      <c r="J41" s="2" t="s">
        <v>153</v>
      </c>
      <c r="K41" s="2"/>
      <c r="L41" s="2">
        <v>9</v>
      </c>
      <c r="M41" s="2">
        <v>3</v>
      </c>
      <c r="N41" s="2"/>
      <c r="O41" s="2"/>
      <c r="P41" s="2">
        <v>12</v>
      </c>
      <c r="Q41" s="2">
        <v>32</v>
      </c>
      <c r="R41" s="2">
        <v>10</v>
      </c>
      <c r="S41" s="2" t="s">
        <v>76</v>
      </c>
      <c r="T41" s="2"/>
      <c r="U41" s="2"/>
      <c r="V41" s="2" t="s">
        <v>63</v>
      </c>
      <c r="W41" s="2" t="s">
        <v>52</v>
      </c>
      <c r="X41" s="2" t="b">
        <v>0</v>
      </c>
      <c r="Y41" s="2" t="s">
        <v>53</v>
      </c>
      <c r="Z41" s="2" t="s">
        <v>64</v>
      </c>
      <c r="AA41" s="2"/>
      <c r="AB41" s="2" t="s">
        <v>45</v>
      </c>
      <c r="AC41" s="2" t="s">
        <v>80</v>
      </c>
      <c r="AD41" s="2" t="s">
        <v>81</v>
      </c>
      <c r="AE41" s="2" t="s">
        <v>54</v>
      </c>
      <c r="AF41" s="2" t="s">
        <v>88</v>
      </c>
      <c r="AG41" s="2" t="s">
        <v>154</v>
      </c>
      <c r="AH41" s="2" t="s">
        <v>54</v>
      </c>
      <c r="AI41" s="2" t="s">
        <v>55</v>
      </c>
      <c r="AJ41" s="2"/>
      <c r="AK41" s="2">
        <v>5</v>
      </c>
      <c r="AL41" s="2" t="s">
        <v>82</v>
      </c>
      <c r="AM41" s="2" t="s">
        <v>57</v>
      </c>
      <c r="AN41" s="2" t="s">
        <v>54</v>
      </c>
      <c r="AO41" s="2">
        <v>0</v>
      </c>
      <c r="AP41" s="2" t="s">
        <v>54</v>
      </c>
      <c r="AQ41" s="2" t="s">
        <v>58</v>
      </c>
    </row>
    <row r="42" spans="1:43" x14ac:dyDescent="0.2">
      <c r="A42" s="2">
        <v>180</v>
      </c>
      <c r="B42" s="2" t="s">
        <v>43</v>
      </c>
      <c r="C42" s="2" t="s">
        <v>44</v>
      </c>
      <c r="D42" s="2" t="s">
        <v>45</v>
      </c>
      <c r="E42" s="2"/>
      <c r="F42" s="2">
        <v>40365405</v>
      </c>
      <c r="G42" s="2" t="s">
        <v>59</v>
      </c>
      <c r="H42" s="3">
        <v>28066</v>
      </c>
      <c r="I42" s="2"/>
      <c r="J42" s="2" t="s">
        <v>155</v>
      </c>
      <c r="K42" s="2" t="s">
        <v>61</v>
      </c>
      <c r="L42" s="2"/>
      <c r="M42" s="2"/>
      <c r="N42" s="2"/>
      <c r="O42" s="2"/>
      <c r="P42" s="2">
        <v>12</v>
      </c>
      <c r="Q42" s="2">
        <v>70</v>
      </c>
      <c r="R42" s="2">
        <v>60</v>
      </c>
      <c r="S42" s="2" t="s">
        <v>62</v>
      </c>
      <c r="T42" s="2"/>
      <c r="U42" s="2"/>
      <c r="V42" s="2" t="s">
        <v>78</v>
      </c>
      <c r="W42" s="2" t="s">
        <v>52</v>
      </c>
      <c r="X42" s="2" t="b">
        <v>0</v>
      </c>
      <c r="Y42" s="2" t="s">
        <v>64</v>
      </c>
      <c r="Z42" s="2" t="s">
        <v>64</v>
      </c>
      <c r="AA42" s="2"/>
      <c r="AB42" s="2" t="s">
        <v>45</v>
      </c>
      <c r="AC42" s="2" t="s">
        <v>65</v>
      </c>
      <c r="AD42" s="2" t="s">
        <v>81</v>
      </c>
      <c r="AE42" s="2" t="s">
        <v>54</v>
      </c>
      <c r="AF42" s="2" t="s">
        <v>54</v>
      </c>
      <c r="AG42" s="2"/>
      <c r="AH42" s="2" t="s">
        <v>54</v>
      </c>
      <c r="AI42" s="2" t="s">
        <v>54</v>
      </c>
      <c r="AJ42" s="2"/>
      <c r="AK42" s="2">
        <v>4</v>
      </c>
      <c r="AL42" s="2" t="s">
        <v>142</v>
      </c>
      <c r="AM42" s="2" t="s">
        <v>57</v>
      </c>
      <c r="AN42" s="2" t="s">
        <v>54</v>
      </c>
      <c r="AO42" s="2">
        <v>0</v>
      </c>
      <c r="AP42" s="2" t="s">
        <v>54</v>
      </c>
      <c r="AQ42" s="2" t="s">
        <v>58</v>
      </c>
    </row>
    <row r="43" spans="1:43" x14ac:dyDescent="0.2">
      <c r="A43" s="2">
        <v>179</v>
      </c>
      <c r="B43" s="2" t="s">
        <v>43</v>
      </c>
      <c r="C43" s="2" t="s">
        <v>44</v>
      </c>
      <c r="D43" s="2" t="s">
        <v>45</v>
      </c>
      <c r="E43" s="2"/>
      <c r="F43" s="2">
        <v>40371759</v>
      </c>
      <c r="G43" s="2" t="s">
        <v>59</v>
      </c>
      <c r="H43" s="3">
        <v>18309</v>
      </c>
      <c r="I43" s="2"/>
      <c r="J43" s="2" t="s">
        <v>156</v>
      </c>
      <c r="K43" s="2" t="s">
        <v>49</v>
      </c>
      <c r="L43" s="2"/>
      <c r="M43" s="2"/>
      <c r="N43" s="2"/>
      <c r="O43" s="2"/>
      <c r="P43" s="2"/>
      <c r="Q43" s="2">
        <v>34</v>
      </c>
      <c r="R43" s="2"/>
      <c r="S43" s="2" t="s">
        <v>76</v>
      </c>
      <c r="T43" s="2" t="s">
        <v>54</v>
      </c>
      <c r="U43" s="2" t="s">
        <v>54</v>
      </c>
      <c r="V43" s="2" t="s">
        <v>70</v>
      </c>
      <c r="W43" s="2" t="s">
        <v>52</v>
      </c>
      <c r="X43" s="2" t="b">
        <v>0</v>
      </c>
      <c r="Y43" s="2" t="s">
        <v>64</v>
      </c>
      <c r="Z43" s="2" t="s">
        <v>64</v>
      </c>
      <c r="AA43" s="2" t="s">
        <v>124</v>
      </c>
      <c r="AB43" s="2" t="s">
        <v>45</v>
      </c>
      <c r="AC43" s="2" t="s">
        <v>80</v>
      </c>
      <c r="AD43" s="2" t="s">
        <v>66</v>
      </c>
      <c r="AE43" s="2" t="s">
        <v>54</v>
      </c>
      <c r="AF43" s="2" t="s">
        <v>54</v>
      </c>
      <c r="AG43" s="2"/>
      <c r="AH43" s="2" t="s">
        <v>54</v>
      </c>
      <c r="AI43" s="2" t="s">
        <v>54</v>
      </c>
      <c r="AJ43" s="2"/>
      <c r="AK43" s="2">
        <v>4</v>
      </c>
      <c r="AL43" s="2" t="s">
        <v>68</v>
      </c>
      <c r="AM43" s="2" t="s">
        <v>126</v>
      </c>
      <c r="AN43" s="2" t="s">
        <v>54</v>
      </c>
      <c r="AO43" s="2">
        <v>0</v>
      </c>
      <c r="AP43" s="2" t="s">
        <v>54</v>
      </c>
      <c r="AQ43" s="2" t="s">
        <v>58</v>
      </c>
    </row>
    <row r="44" spans="1:43" x14ac:dyDescent="0.2">
      <c r="A44" s="2">
        <v>178</v>
      </c>
      <c r="B44" s="2" t="s">
        <v>43</v>
      </c>
      <c r="C44" s="2" t="s">
        <v>44</v>
      </c>
      <c r="D44" s="2" t="s">
        <v>45</v>
      </c>
      <c r="E44" s="2"/>
      <c r="F44" s="2">
        <v>41135831</v>
      </c>
      <c r="G44" s="2" t="s">
        <v>59</v>
      </c>
      <c r="H44" s="3">
        <v>15479</v>
      </c>
      <c r="I44" s="2"/>
      <c r="J44" s="2" t="s">
        <v>157</v>
      </c>
      <c r="K44" s="2" t="s">
        <v>49</v>
      </c>
      <c r="L44" s="2"/>
      <c r="M44" s="2"/>
      <c r="N44" s="2"/>
      <c r="O44" s="2"/>
      <c r="P44" s="2"/>
      <c r="Q44" s="2">
        <v>48</v>
      </c>
      <c r="R44" s="2">
        <v>30</v>
      </c>
      <c r="S44" s="2" t="s">
        <v>50</v>
      </c>
      <c r="T44" s="2" t="s">
        <v>54</v>
      </c>
      <c r="U44" s="2" t="s">
        <v>54</v>
      </c>
      <c r="V44" s="2" t="s">
        <v>70</v>
      </c>
      <c r="W44" s="2" t="s">
        <v>52</v>
      </c>
      <c r="X44" s="2" t="b">
        <v>0</v>
      </c>
      <c r="Y44" s="2" t="s">
        <v>53</v>
      </c>
      <c r="Z44" s="2" t="s">
        <v>53</v>
      </c>
      <c r="AA44" s="2" t="s">
        <v>147</v>
      </c>
      <c r="AB44" s="2" t="s">
        <v>45</v>
      </c>
      <c r="AC44" s="2" t="s">
        <v>80</v>
      </c>
      <c r="AD44" s="2" t="s">
        <v>66</v>
      </c>
      <c r="AE44" s="2" t="s">
        <v>54</v>
      </c>
      <c r="AF44" s="2" t="s">
        <v>54</v>
      </c>
      <c r="AG44" s="2"/>
      <c r="AH44" s="2" t="s">
        <v>54</v>
      </c>
      <c r="AI44" s="2" t="s">
        <v>55</v>
      </c>
      <c r="AJ44" s="2"/>
      <c r="AK44" s="2">
        <v>4</v>
      </c>
      <c r="AL44" s="2" t="s">
        <v>139</v>
      </c>
      <c r="AM44" s="2" t="s">
        <v>57</v>
      </c>
      <c r="AN44" s="2" t="s">
        <v>54</v>
      </c>
      <c r="AO44" s="2">
        <v>0</v>
      </c>
      <c r="AP44" s="2" t="s">
        <v>55</v>
      </c>
      <c r="AQ44" s="2" t="s">
        <v>58</v>
      </c>
    </row>
    <row r="45" spans="1:43" x14ac:dyDescent="0.2">
      <c r="A45" s="2">
        <v>177</v>
      </c>
      <c r="B45" s="2" t="s">
        <v>43</v>
      </c>
      <c r="C45" s="2" t="s">
        <v>44</v>
      </c>
      <c r="D45" s="2" t="s">
        <v>45</v>
      </c>
      <c r="E45" s="2"/>
      <c r="F45" s="2">
        <v>41384082</v>
      </c>
      <c r="G45" s="2" t="s">
        <v>59</v>
      </c>
      <c r="H45" s="3">
        <v>23127</v>
      </c>
      <c r="I45" s="2"/>
      <c r="J45" s="2" t="s">
        <v>158</v>
      </c>
      <c r="K45" s="2" t="s">
        <v>61</v>
      </c>
      <c r="L45" s="2"/>
      <c r="M45" s="2"/>
      <c r="N45" s="2"/>
      <c r="O45" s="2"/>
      <c r="P45" s="2"/>
      <c r="Q45" s="2"/>
      <c r="R45" s="2"/>
      <c r="S45" s="2" t="s">
        <v>159</v>
      </c>
      <c r="T45" s="2"/>
      <c r="U45" s="2"/>
      <c r="V45" s="2" t="s">
        <v>70</v>
      </c>
      <c r="W45" s="2" t="s">
        <v>160</v>
      </c>
      <c r="X45" s="2" t="b">
        <v>0</v>
      </c>
      <c r="Y45" s="2" t="s">
        <v>64</v>
      </c>
      <c r="Z45" s="2" t="s">
        <v>64</v>
      </c>
      <c r="AA45" s="2" t="s">
        <v>124</v>
      </c>
      <c r="AB45" s="2" t="s">
        <v>45</v>
      </c>
      <c r="AC45" s="2" t="s">
        <v>65</v>
      </c>
      <c r="AD45" s="2" t="s">
        <v>66</v>
      </c>
      <c r="AE45" s="2" t="s">
        <v>54</v>
      </c>
      <c r="AF45" s="2" t="s">
        <v>54</v>
      </c>
      <c r="AG45" s="2"/>
      <c r="AH45" s="2" t="s">
        <v>54</v>
      </c>
      <c r="AI45" s="2" t="s">
        <v>54</v>
      </c>
      <c r="AJ45" s="2"/>
      <c r="AK45" s="2">
        <v>10</v>
      </c>
      <c r="AL45" s="2" t="s">
        <v>161</v>
      </c>
      <c r="AM45" s="2" t="s">
        <v>162</v>
      </c>
      <c r="AN45" s="2" t="s">
        <v>54</v>
      </c>
      <c r="AO45" s="2">
        <v>0</v>
      </c>
      <c r="AP45" s="2" t="s">
        <v>54</v>
      </c>
      <c r="AQ45" s="2" t="s">
        <v>58</v>
      </c>
    </row>
    <row r="46" spans="1:43" x14ac:dyDescent="0.2">
      <c r="A46" s="2">
        <v>176</v>
      </c>
      <c r="B46" s="2" t="s">
        <v>163</v>
      </c>
      <c r="C46" s="2" t="s">
        <v>44</v>
      </c>
      <c r="D46" s="2" t="s">
        <v>45</v>
      </c>
      <c r="E46" s="2"/>
      <c r="F46" s="2">
        <v>29163771</v>
      </c>
      <c r="G46" s="2" t="s">
        <v>59</v>
      </c>
      <c r="H46" s="3">
        <v>30085</v>
      </c>
      <c r="I46" s="2"/>
      <c r="J46" s="2" t="s">
        <v>164</v>
      </c>
      <c r="K46" s="2" t="s">
        <v>49</v>
      </c>
      <c r="L46" s="2"/>
      <c r="M46" s="2"/>
      <c r="N46" s="2"/>
      <c r="O46" s="2"/>
      <c r="P46" s="2"/>
      <c r="Q46" s="2">
        <v>50</v>
      </c>
      <c r="R46" s="2">
        <v>15</v>
      </c>
      <c r="S46" s="2" t="s">
        <v>76</v>
      </c>
      <c r="T46" s="2" t="s">
        <v>54</v>
      </c>
      <c r="U46" s="2" t="s">
        <v>54</v>
      </c>
      <c r="V46" s="2" t="s">
        <v>78</v>
      </c>
      <c r="W46" s="2" t="s">
        <v>52</v>
      </c>
      <c r="X46" s="2" t="b">
        <v>0</v>
      </c>
      <c r="Y46" s="2" t="s">
        <v>64</v>
      </c>
      <c r="Z46" s="2" t="s">
        <v>64</v>
      </c>
      <c r="AA46" s="2" t="s">
        <v>147</v>
      </c>
      <c r="AB46" s="2" t="s">
        <v>45</v>
      </c>
      <c r="AC46" s="2" t="s">
        <v>80</v>
      </c>
      <c r="AD46" s="2" t="s">
        <v>88</v>
      </c>
      <c r="AE46" s="2" t="s">
        <v>54</v>
      </c>
      <c r="AF46" s="2" t="s">
        <v>54</v>
      </c>
      <c r="AG46" s="2"/>
      <c r="AH46" s="2" t="s">
        <v>54</v>
      </c>
      <c r="AI46" s="2" t="s">
        <v>54</v>
      </c>
      <c r="AJ46" s="2"/>
      <c r="AK46" s="2">
        <v>4</v>
      </c>
      <c r="AL46" s="2" t="s">
        <v>131</v>
      </c>
      <c r="AM46" s="2" t="s">
        <v>57</v>
      </c>
      <c r="AN46" s="2" t="s">
        <v>54</v>
      </c>
      <c r="AO46" s="2">
        <v>0</v>
      </c>
      <c r="AP46" s="2" t="s">
        <v>54</v>
      </c>
      <c r="AQ46" s="2" t="s">
        <v>165</v>
      </c>
    </row>
    <row r="47" spans="1:43" x14ac:dyDescent="0.2">
      <c r="A47" s="2">
        <v>175</v>
      </c>
      <c r="B47" s="2" t="s">
        <v>163</v>
      </c>
      <c r="C47" s="2" t="s">
        <v>44</v>
      </c>
      <c r="D47" s="2" t="s">
        <v>45</v>
      </c>
      <c r="E47" s="2"/>
      <c r="F47" s="2">
        <v>28990950</v>
      </c>
      <c r="G47" s="2" t="s">
        <v>59</v>
      </c>
      <c r="H47" s="3">
        <v>19734</v>
      </c>
      <c r="I47" s="2"/>
      <c r="J47" s="2" t="s">
        <v>166</v>
      </c>
      <c r="K47" s="2" t="s">
        <v>167</v>
      </c>
      <c r="L47" s="2"/>
      <c r="M47" s="2"/>
      <c r="N47" s="2"/>
      <c r="O47" s="2"/>
      <c r="P47" s="2"/>
      <c r="Q47" s="2">
        <v>30</v>
      </c>
      <c r="R47" s="2">
        <v>60</v>
      </c>
      <c r="S47" s="2" t="s">
        <v>50</v>
      </c>
      <c r="T47" s="2" t="s">
        <v>54</v>
      </c>
      <c r="U47" s="2" t="s">
        <v>54</v>
      </c>
      <c r="V47" s="2" t="s">
        <v>78</v>
      </c>
      <c r="W47" s="2" t="s">
        <v>87</v>
      </c>
      <c r="X47" s="2" t="b">
        <v>0</v>
      </c>
      <c r="Y47" s="2" t="s">
        <v>64</v>
      </c>
      <c r="Z47" s="2" t="s">
        <v>64</v>
      </c>
      <c r="AA47" s="2" t="s">
        <v>147</v>
      </c>
      <c r="AB47" s="2" t="s">
        <v>45</v>
      </c>
      <c r="AC47" s="2"/>
      <c r="AD47" s="2" t="s">
        <v>81</v>
      </c>
      <c r="AE47" s="2" t="s">
        <v>54</v>
      </c>
      <c r="AF47" s="2" t="s">
        <v>54</v>
      </c>
      <c r="AG47" s="2"/>
      <c r="AH47" s="2" t="s">
        <v>54</v>
      </c>
      <c r="AI47" s="2" t="s">
        <v>54</v>
      </c>
      <c r="AJ47" s="2"/>
      <c r="AK47" s="2">
        <v>3</v>
      </c>
      <c r="AL47" s="2" t="s">
        <v>131</v>
      </c>
      <c r="AM47" s="2" t="s">
        <v>57</v>
      </c>
      <c r="AN47" s="2" t="s">
        <v>54</v>
      </c>
      <c r="AO47" s="2">
        <v>0</v>
      </c>
      <c r="AP47" s="2" t="s">
        <v>54</v>
      </c>
      <c r="AQ47" s="2" t="s">
        <v>165</v>
      </c>
    </row>
    <row r="48" spans="1:43" x14ac:dyDescent="0.2">
      <c r="A48" s="2">
        <v>174</v>
      </c>
      <c r="B48" s="2" t="s">
        <v>163</v>
      </c>
      <c r="C48" s="2" t="s">
        <v>44</v>
      </c>
      <c r="D48" s="2" t="s">
        <v>45</v>
      </c>
      <c r="E48" s="2"/>
      <c r="F48" s="2">
        <v>28955763</v>
      </c>
      <c r="G48" s="2" t="s">
        <v>46</v>
      </c>
      <c r="H48" s="3">
        <v>22794</v>
      </c>
      <c r="I48" s="2" t="s">
        <v>168</v>
      </c>
      <c r="J48" s="2" t="s">
        <v>169</v>
      </c>
      <c r="K48" s="2" t="s">
        <v>49</v>
      </c>
      <c r="L48" s="2"/>
      <c r="M48" s="2"/>
      <c r="N48" s="2"/>
      <c r="O48" s="2"/>
      <c r="P48" s="2"/>
      <c r="Q48" s="2">
        <v>57</v>
      </c>
      <c r="R48" s="2">
        <v>100</v>
      </c>
      <c r="S48" s="2" t="s">
        <v>62</v>
      </c>
      <c r="T48" s="2" t="s">
        <v>54</v>
      </c>
      <c r="U48" s="2" t="s">
        <v>54</v>
      </c>
      <c r="V48" s="2" t="s">
        <v>78</v>
      </c>
      <c r="W48" s="2" t="s">
        <v>52</v>
      </c>
      <c r="X48" s="2" t="b">
        <v>0</v>
      </c>
      <c r="Y48" s="2" t="s">
        <v>64</v>
      </c>
      <c r="Z48" s="2" t="s">
        <v>64</v>
      </c>
      <c r="AA48" s="2" t="s">
        <v>147</v>
      </c>
      <c r="AB48" s="2" t="s">
        <v>45</v>
      </c>
      <c r="AC48" s="2"/>
      <c r="AD48" s="2" t="s">
        <v>81</v>
      </c>
      <c r="AE48" s="2" t="s">
        <v>54</v>
      </c>
      <c r="AF48" s="2" t="s">
        <v>54</v>
      </c>
      <c r="AG48" s="2"/>
      <c r="AH48" s="2" t="s">
        <v>54</v>
      </c>
      <c r="AI48" s="2" t="s">
        <v>54</v>
      </c>
      <c r="AJ48" s="2"/>
      <c r="AK48" s="2">
        <v>4</v>
      </c>
      <c r="AL48" s="2" t="s">
        <v>108</v>
      </c>
      <c r="AM48" s="2" t="s">
        <v>57</v>
      </c>
      <c r="AN48" s="2" t="s">
        <v>54</v>
      </c>
      <c r="AO48" s="2">
        <v>0</v>
      </c>
      <c r="AP48" s="2" t="s">
        <v>54</v>
      </c>
      <c r="AQ48" s="2" t="s">
        <v>165</v>
      </c>
    </row>
    <row r="49" spans="1:43" x14ac:dyDescent="0.2">
      <c r="A49" s="2">
        <v>173</v>
      </c>
      <c r="B49" s="2" t="s">
        <v>163</v>
      </c>
      <c r="C49" s="2" t="s">
        <v>44</v>
      </c>
      <c r="D49" s="2" t="s">
        <v>45</v>
      </c>
      <c r="E49" s="2"/>
      <c r="F49" s="2">
        <v>28923357</v>
      </c>
      <c r="G49" s="2"/>
      <c r="H49" s="3">
        <v>20559</v>
      </c>
      <c r="I49" s="2"/>
      <c r="J49" s="2" t="s">
        <v>170</v>
      </c>
      <c r="K49" s="2" t="s">
        <v>167</v>
      </c>
      <c r="L49" s="2"/>
      <c r="M49" s="2"/>
      <c r="N49" s="2"/>
      <c r="O49" s="2"/>
      <c r="P49" s="2"/>
      <c r="Q49" s="2">
        <v>60</v>
      </c>
      <c r="R49" s="2">
        <v>30</v>
      </c>
      <c r="S49" s="2"/>
      <c r="T49" s="2" t="s">
        <v>54</v>
      </c>
      <c r="U49" s="2" t="s">
        <v>54</v>
      </c>
      <c r="V49" s="2" t="s">
        <v>70</v>
      </c>
      <c r="W49" s="2" t="s">
        <v>52</v>
      </c>
      <c r="X49" s="2" t="b">
        <v>0</v>
      </c>
      <c r="Y49" s="2" t="s">
        <v>53</v>
      </c>
      <c r="Z49" s="2" t="s">
        <v>64</v>
      </c>
      <c r="AA49" s="2" t="s">
        <v>147</v>
      </c>
      <c r="AB49" s="2" t="s">
        <v>45</v>
      </c>
      <c r="AC49" s="2"/>
      <c r="AD49" s="2" t="s">
        <v>66</v>
      </c>
      <c r="AE49" s="2" t="s">
        <v>54</v>
      </c>
      <c r="AF49" s="2" t="s">
        <v>54</v>
      </c>
      <c r="AG49" s="2"/>
      <c r="AH49" s="2" t="s">
        <v>54</v>
      </c>
      <c r="AI49" s="2" t="s">
        <v>55</v>
      </c>
      <c r="AJ49" s="2"/>
      <c r="AK49" s="2">
        <v>4</v>
      </c>
      <c r="AL49" s="2" t="s">
        <v>131</v>
      </c>
      <c r="AM49" s="2" t="s">
        <v>57</v>
      </c>
      <c r="AN49" s="2" t="s">
        <v>54</v>
      </c>
      <c r="AO49" s="2">
        <v>-1</v>
      </c>
      <c r="AP49" s="2" t="s">
        <v>54</v>
      </c>
      <c r="AQ49" s="2" t="s">
        <v>165</v>
      </c>
    </row>
    <row r="50" spans="1:43" x14ac:dyDescent="0.2">
      <c r="A50" s="2">
        <v>172</v>
      </c>
      <c r="B50" s="2" t="s">
        <v>163</v>
      </c>
      <c r="C50" s="2" t="s">
        <v>44</v>
      </c>
      <c r="D50" s="2" t="s">
        <v>45</v>
      </c>
      <c r="E50" s="2"/>
      <c r="F50" s="2">
        <v>28903359</v>
      </c>
      <c r="G50" s="2" t="s">
        <v>59</v>
      </c>
      <c r="H50" s="3">
        <v>13651</v>
      </c>
      <c r="I50" s="2" t="s">
        <v>171</v>
      </c>
      <c r="J50" s="2" t="s">
        <v>172</v>
      </c>
      <c r="K50" s="2" t="s">
        <v>61</v>
      </c>
      <c r="L50" s="2"/>
      <c r="M50" s="2"/>
      <c r="N50" s="2"/>
      <c r="O50" s="2"/>
      <c r="P50" s="2">
        <v>15</v>
      </c>
      <c r="Q50" s="2">
        <v>48</v>
      </c>
      <c r="R50" s="2">
        <v>18</v>
      </c>
      <c r="S50" s="2" t="s">
        <v>76</v>
      </c>
      <c r="T50" s="2" t="s">
        <v>54</v>
      </c>
      <c r="U50" s="2" t="s">
        <v>54</v>
      </c>
      <c r="V50" s="2" t="s">
        <v>63</v>
      </c>
      <c r="W50" s="2" t="s">
        <v>79</v>
      </c>
      <c r="X50" s="2" t="b">
        <v>0</v>
      </c>
      <c r="Y50" s="2" t="s">
        <v>53</v>
      </c>
      <c r="Z50" s="2" t="s">
        <v>64</v>
      </c>
      <c r="AA50" s="2" t="s">
        <v>147</v>
      </c>
      <c r="AB50" s="2" t="s">
        <v>45</v>
      </c>
      <c r="AC50" s="2" t="s">
        <v>80</v>
      </c>
      <c r="AD50" s="2" t="s">
        <v>66</v>
      </c>
      <c r="AE50" s="2" t="s">
        <v>54</v>
      </c>
      <c r="AF50" s="2" t="s">
        <v>88</v>
      </c>
      <c r="AG50" s="2" t="s">
        <v>173</v>
      </c>
      <c r="AH50" s="2" t="s">
        <v>54</v>
      </c>
      <c r="AI50" s="2" t="s">
        <v>55</v>
      </c>
      <c r="AJ50" s="2"/>
      <c r="AK50" s="2">
        <v>0</v>
      </c>
      <c r="AL50" s="2" t="s">
        <v>57</v>
      </c>
      <c r="AM50" s="2" t="s">
        <v>57</v>
      </c>
      <c r="AN50" s="2" t="s">
        <v>54</v>
      </c>
      <c r="AO50" s="2">
        <v>0</v>
      </c>
      <c r="AP50" s="2" t="s">
        <v>54</v>
      </c>
      <c r="AQ50" s="2" t="s">
        <v>165</v>
      </c>
    </row>
    <row r="51" spans="1:43" x14ac:dyDescent="0.2">
      <c r="A51" s="2">
        <v>171</v>
      </c>
      <c r="B51" s="2" t="s">
        <v>163</v>
      </c>
      <c r="C51" s="2" t="s">
        <v>44</v>
      </c>
      <c r="D51" s="2" t="s">
        <v>45</v>
      </c>
      <c r="E51" s="2"/>
      <c r="F51" s="2">
        <v>28862118</v>
      </c>
      <c r="G51" s="2" t="s">
        <v>46</v>
      </c>
      <c r="H51" s="3">
        <v>17597</v>
      </c>
      <c r="I51" s="2" t="s">
        <v>174</v>
      </c>
      <c r="J51" s="2" t="s">
        <v>175</v>
      </c>
      <c r="K51" s="2" t="s">
        <v>167</v>
      </c>
      <c r="L51" s="2"/>
      <c r="M51" s="2"/>
      <c r="N51" s="2"/>
      <c r="O51" s="2"/>
      <c r="P51" s="2"/>
      <c r="Q51" s="2">
        <v>50</v>
      </c>
      <c r="R51" s="2"/>
      <c r="S51" s="2" t="s">
        <v>62</v>
      </c>
      <c r="T51" s="2" t="s">
        <v>54</v>
      </c>
      <c r="U51" s="2" t="s">
        <v>54</v>
      </c>
      <c r="V51" s="2"/>
      <c r="W51" s="2" t="s">
        <v>79</v>
      </c>
      <c r="X51" s="2" t="b">
        <v>1</v>
      </c>
      <c r="Y51" s="2" t="s">
        <v>64</v>
      </c>
      <c r="Z51" s="2" t="s">
        <v>64</v>
      </c>
      <c r="AA51" s="2" t="s">
        <v>147</v>
      </c>
      <c r="AB51" s="2" t="s">
        <v>45</v>
      </c>
      <c r="AC51" s="2"/>
      <c r="AD51" s="2"/>
      <c r="AE51" s="2" t="s">
        <v>54</v>
      </c>
      <c r="AF51" s="2" t="s">
        <v>54</v>
      </c>
      <c r="AG51" s="2"/>
      <c r="AH51" s="2" t="s">
        <v>54</v>
      </c>
      <c r="AI51" s="2" t="s">
        <v>54</v>
      </c>
      <c r="AJ51" s="2"/>
      <c r="AK51" s="2">
        <v>0</v>
      </c>
      <c r="AL51" s="2" t="s">
        <v>161</v>
      </c>
      <c r="AM51" s="2" t="s">
        <v>57</v>
      </c>
      <c r="AN51" s="2" t="s">
        <v>88</v>
      </c>
      <c r="AO51" s="2" t="s">
        <v>176</v>
      </c>
      <c r="AP51" s="2" t="s">
        <v>54</v>
      </c>
      <c r="AQ51" s="2" t="s">
        <v>165</v>
      </c>
    </row>
    <row r="52" spans="1:43" x14ac:dyDescent="0.2">
      <c r="A52" s="2">
        <v>170</v>
      </c>
      <c r="B52" s="2" t="s">
        <v>163</v>
      </c>
      <c r="C52" s="2" t="s">
        <v>44</v>
      </c>
      <c r="D52" s="2" t="s">
        <v>45</v>
      </c>
      <c r="E52" s="2"/>
      <c r="F52" s="2">
        <v>28843969</v>
      </c>
      <c r="G52" s="2" t="s">
        <v>59</v>
      </c>
      <c r="H52" s="3">
        <v>11864</v>
      </c>
      <c r="I52" s="2"/>
      <c r="J52" s="2" t="s">
        <v>177</v>
      </c>
      <c r="K52" s="2" t="s">
        <v>167</v>
      </c>
      <c r="L52" s="2"/>
      <c r="M52" s="2"/>
      <c r="N52" s="2"/>
      <c r="O52" s="2"/>
      <c r="P52" s="2"/>
      <c r="Q52" s="2">
        <v>45</v>
      </c>
      <c r="R52" s="2">
        <v>60</v>
      </c>
      <c r="S52" s="2" t="s">
        <v>50</v>
      </c>
      <c r="T52" s="2" t="s">
        <v>54</v>
      </c>
      <c r="U52" s="2" t="s">
        <v>54</v>
      </c>
      <c r="V52" s="2" t="s">
        <v>63</v>
      </c>
      <c r="W52" s="2" t="s">
        <v>85</v>
      </c>
      <c r="X52" s="2" t="b">
        <v>0</v>
      </c>
      <c r="Y52" s="2" t="s">
        <v>64</v>
      </c>
      <c r="Z52" s="2" t="s">
        <v>64</v>
      </c>
      <c r="AA52" s="2" t="s">
        <v>147</v>
      </c>
      <c r="AB52" s="2" t="s">
        <v>45</v>
      </c>
      <c r="AC52" s="2"/>
      <c r="AD52" s="2" t="s">
        <v>66</v>
      </c>
      <c r="AE52" s="2" t="s">
        <v>54</v>
      </c>
      <c r="AF52" s="2" t="s">
        <v>88</v>
      </c>
      <c r="AG52" s="2" t="s">
        <v>178</v>
      </c>
      <c r="AH52" s="2" t="s">
        <v>55</v>
      </c>
      <c r="AI52" s="2" t="s">
        <v>54</v>
      </c>
      <c r="AJ52" s="2"/>
      <c r="AK52" s="2">
        <v>0</v>
      </c>
      <c r="AL52" s="2" t="s">
        <v>96</v>
      </c>
      <c r="AM52" s="2" t="s">
        <v>57</v>
      </c>
      <c r="AN52" s="2" t="s">
        <v>54</v>
      </c>
      <c r="AO52" s="2">
        <v>0</v>
      </c>
      <c r="AP52" s="2" t="s">
        <v>54</v>
      </c>
      <c r="AQ52" s="2" t="s">
        <v>165</v>
      </c>
    </row>
    <row r="53" spans="1:43" x14ac:dyDescent="0.2">
      <c r="A53" s="2">
        <v>169</v>
      </c>
      <c r="B53" s="2" t="s">
        <v>163</v>
      </c>
      <c r="C53" s="2" t="s">
        <v>44</v>
      </c>
      <c r="D53" s="2" t="s">
        <v>45</v>
      </c>
      <c r="E53" s="2"/>
      <c r="F53" s="2">
        <v>28732881</v>
      </c>
      <c r="G53" s="2" t="s">
        <v>46</v>
      </c>
      <c r="H53" s="3">
        <v>13653</v>
      </c>
      <c r="I53" s="2"/>
      <c r="J53" s="2" t="s">
        <v>179</v>
      </c>
      <c r="K53" s="2" t="s">
        <v>167</v>
      </c>
      <c r="L53" s="2"/>
      <c r="M53" s="2"/>
      <c r="N53" s="2"/>
      <c r="O53" s="2"/>
      <c r="P53" s="2"/>
      <c r="Q53" s="2">
        <v>35</v>
      </c>
      <c r="R53" s="2">
        <v>20</v>
      </c>
      <c r="S53" s="2" t="s">
        <v>76</v>
      </c>
      <c r="T53" s="2" t="s">
        <v>54</v>
      </c>
      <c r="U53" s="2" t="s">
        <v>54</v>
      </c>
      <c r="V53" s="2" t="s">
        <v>63</v>
      </c>
      <c r="W53" s="2" t="s">
        <v>87</v>
      </c>
      <c r="X53" s="2" t="b">
        <v>0</v>
      </c>
      <c r="Y53" s="2" t="s">
        <v>64</v>
      </c>
      <c r="Z53" s="2" t="s">
        <v>64</v>
      </c>
      <c r="AA53" s="2" t="s">
        <v>147</v>
      </c>
      <c r="AB53" s="2" t="s">
        <v>45</v>
      </c>
      <c r="AC53" s="2" t="s">
        <v>80</v>
      </c>
      <c r="AD53" s="2"/>
      <c r="AE53" s="2" t="s">
        <v>54</v>
      </c>
      <c r="AF53" s="2" t="s">
        <v>88</v>
      </c>
      <c r="AG53" s="2" t="s">
        <v>180</v>
      </c>
      <c r="AH53" s="2" t="s">
        <v>54</v>
      </c>
      <c r="AI53" s="2" t="s">
        <v>54</v>
      </c>
      <c r="AJ53" s="2"/>
      <c r="AK53" s="2">
        <v>3</v>
      </c>
      <c r="AL53" s="2" t="s">
        <v>74</v>
      </c>
      <c r="AM53" s="2" t="s">
        <v>57</v>
      </c>
      <c r="AN53" s="2" t="s">
        <v>54</v>
      </c>
      <c r="AO53" s="2">
        <v>0</v>
      </c>
      <c r="AP53" s="2" t="s">
        <v>54</v>
      </c>
      <c r="AQ53" s="2" t="s">
        <v>165</v>
      </c>
    </row>
    <row r="54" spans="1:43" x14ac:dyDescent="0.2">
      <c r="A54" s="2">
        <v>168</v>
      </c>
      <c r="B54" s="2" t="s">
        <v>163</v>
      </c>
      <c r="C54" s="2" t="s">
        <v>44</v>
      </c>
      <c r="D54" s="2" t="s">
        <v>45</v>
      </c>
      <c r="E54" s="2"/>
      <c r="F54" s="2">
        <v>28650547</v>
      </c>
      <c r="G54" s="2" t="s">
        <v>59</v>
      </c>
      <c r="H54" s="3">
        <v>18361</v>
      </c>
      <c r="I54" s="2"/>
      <c r="J54" s="2" t="s">
        <v>181</v>
      </c>
      <c r="K54" s="2" t="s">
        <v>61</v>
      </c>
      <c r="L54" s="2"/>
      <c r="M54" s="2"/>
      <c r="N54" s="2"/>
      <c r="O54" s="2"/>
      <c r="P54" s="2"/>
      <c r="Q54" s="2">
        <v>35</v>
      </c>
      <c r="R54" s="2">
        <v>77</v>
      </c>
      <c r="S54" s="2" t="s">
        <v>50</v>
      </c>
      <c r="T54" s="2" t="s">
        <v>54</v>
      </c>
      <c r="U54" s="2" t="s">
        <v>54</v>
      </c>
      <c r="V54" s="2" t="s">
        <v>70</v>
      </c>
      <c r="W54" s="2" t="s">
        <v>87</v>
      </c>
      <c r="X54" s="2" t="b">
        <v>0</v>
      </c>
      <c r="Y54" s="2" t="s">
        <v>53</v>
      </c>
      <c r="Z54" s="2" t="s">
        <v>64</v>
      </c>
      <c r="AA54" s="2" t="s">
        <v>147</v>
      </c>
      <c r="AB54" s="2" t="s">
        <v>45</v>
      </c>
      <c r="AC54" s="2"/>
      <c r="AD54" s="2" t="s">
        <v>66</v>
      </c>
      <c r="AE54" s="2" t="s">
        <v>54</v>
      </c>
      <c r="AF54" s="2" t="s">
        <v>54</v>
      </c>
      <c r="AG54" s="2"/>
      <c r="AH54" s="2" t="s">
        <v>54</v>
      </c>
      <c r="AI54" s="2" t="s">
        <v>55</v>
      </c>
      <c r="AJ54" s="2"/>
      <c r="AK54" s="2">
        <v>3</v>
      </c>
      <c r="AL54" s="2" t="s">
        <v>131</v>
      </c>
      <c r="AM54" s="2" t="s">
        <v>57</v>
      </c>
      <c r="AN54" s="2" t="s">
        <v>54</v>
      </c>
      <c r="AO54" s="2">
        <v>0</v>
      </c>
      <c r="AP54" s="2" t="s">
        <v>54</v>
      </c>
      <c r="AQ54" s="2" t="s">
        <v>165</v>
      </c>
    </row>
    <row r="55" spans="1:43" x14ac:dyDescent="0.2">
      <c r="A55" s="2">
        <v>167</v>
      </c>
      <c r="B55" s="2" t="s">
        <v>163</v>
      </c>
      <c r="C55" s="2" t="s">
        <v>44</v>
      </c>
      <c r="D55" s="2" t="s">
        <v>45</v>
      </c>
      <c r="E55" s="2"/>
      <c r="F55" s="2">
        <v>28556108</v>
      </c>
      <c r="G55" s="2" t="s">
        <v>59</v>
      </c>
      <c r="H55" s="3">
        <v>17998</v>
      </c>
      <c r="I55" s="2" t="s">
        <v>182</v>
      </c>
      <c r="J55" s="2" t="s">
        <v>183</v>
      </c>
      <c r="K55" s="2" t="s">
        <v>49</v>
      </c>
      <c r="L55" s="2"/>
      <c r="M55" s="2"/>
      <c r="N55" s="2"/>
      <c r="O55" s="2"/>
      <c r="P55" s="2"/>
      <c r="Q55" s="2">
        <v>30</v>
      </c>
      <c r="R55" s="2">
        <v>0</v>
      </c>
      <c r="S55" s="2" t="s">
        <v>76</v>
      </c>
      <c r="T55" s="2" t="s">
        <v>54</v>
      </c>
      <c r="U55" s="2" t="s">
        <v>54</v>
      </c>
      <c r="V55" s="2" t="s">
        <v>78</v>
      </c>
      <c r="W55" s="2" t="s">
        <v>79</v>
      </c>
      <c r="X55" s="2" t="b">
        <v>0</v>
      </c>
      <c r="Y55" s="2" t="s">
        <v>64</v>
      </c>
      <c r="Z55" s="2" t="s">
        <v>64</v>
      </c>
      <c r="AA55" s="2" t="s">
        <v>147</v>
      </c>
      <c r="AB55" s="2" t="s">
        <v>45</v>
      </c>
      <c r="AC55" s="2" t="s">
        <v>80</v>
      </c>
      <c r="AD55" s="2" t="s">
        <v>81</v>
      </c>
      <c r="AE55" s="2" t="s">
        <v>54</v>
      </c>
      <c r="AF55" s="2" t="s">
        <v>54</v>
      </c>
      <c r="AG55" s="2" t="s">
        <v>149</v>
      </c>
      <c r="AH55" s="2" t="s">
        <v>54</v>
      </c>
      <c r="AI55" s="2" t="s">
        <v>54</v>
      </c>
      <c r="AJ55" s="2"/>
      <c r="AK55" s="2">
        <v>0</v>
      </c>
      <c r="AL55" s="2" t="s">
        <v>57</v>
      </c>
      <c r="AM55" s="2" t="s">
        <v>57</v>
      </c>
      <c r="AN55" s="2" t="s">
        <v>54</v>
      </c>
      <c r="AO55" s="2">
        <v>0</v>
      </c>
      <c r="AP55" s="2" t="s">
        <v>54</v>
      </c>
      <c r="AQ55" s="2" t="s">
        <v>165</v>
      </c>
    </row>
    <row r="56" spans="1:43" x14ac:dyDescent="0.2">
      <c r="A56" s="2">
        <v>166</v>
      </c>
      <c r="B56" s="2" t="s">
        <v>163</v>
      </c>
      <c r="C56" s="2" t="s">
        <v>44</v>
      </c>
      <c r="D56" s="2" t="s">
        <v>45</v>
      </c>
      <c r="E56" s="2"/>
      <c r="F56" s="2">
        <v>28544286</v>
      </c>
      <c r="G56" s="2" t="s">
        <v>59</v>
      </c>
      <c r="H56" s="3">
        <v>20080</v>
      </c>
      <c r="I56" s="2" t="s">
        <v>184</v>
      </c>
      <c r="J56" s="2" t="s">
        <v>185</v>
      </c>
      <c r="K56" s="2" t="s">
        <v>61</v>
      </c>
      <c r="L56" s="2"/>
      <c r="M56" s="2"/>
      <c r="N56" s="2"/>
      <c r="O56" s="2"/>
      <c r="P56" s="2">
        <v>13</v>
      </c>
      <c r="Q56" s="2">
        <v>40</v>
      </c>
      <c r="R56" s="2"/>
      <c r="S56" s="2"/>
      <c r="T56" s="2" t="s">
        <v>54</v>
      </c>
      <c r="U56" s="2" t="s">
        <v>54</v>
      </c>
      <c r="V56" s="2" t="s">
        <v>63</v>
      </c>
      <c r="W56" s="2" t="s">
        <v>160</v>
      </c>
      <c r="X56" s="2" t="b">
        <v>0</v>
      </c>
      <c r="Y56" s="2" t="s">
        <v>64</v>
      </c>
      <c r="Z56" s="2" t="s">
        <v>64</v>
      </c>
      <c r="AA56" s="2" t="s">
        <v>147</v>
      </c>
      <c r="AB56" s="2" t="s">
        <v>45</v>
      </c>
      <c r="AC56" s="2"/>
      <c r="AD56" s="2" t="s">
        <v>66</v>
      </c>
      <c r="AE56" s="2" t="s">
        <v>54</v>
      </c>
      <c r="AF56" s="2" t="s">
        <v>55</v>
      </c>
      <c r="AG56" s="2" t="s">
        <v>149</v>
      </c>
      <c r="AH56" s="2" t="s">
        <v>54</v>
      </c>
      <c r="AI56" s="2" t="s">
        <v>54</v>
      </c>
      <c r="AJ56" s="2"/>
      <c r="AK56" s="2">
        <v>11</v>
      </c>
      <c r="AL56" s="2" t="s">
        <v>161</v>
      </c>
      <c r="AM56" s="2" t="s">
        <v>57</v>
      </c>
      <c r="AN56" s="2" t="s">
        <v>54</v>
      </c>
      <c r="AO56" s="2">
        <v>0</v>
      </c>
      <c r="AP56" s="2" t="s">
        <v>54</v>
      </c>
      <c r="AQ56" s="2" t="s">
        <v>165</v>
      </c>
    </row>
    <row r="57" spans="1:43" x14ac:dyDescent="0.2">
      <c r="A57" s="2">
        <v>165</v>
      </c>
      <c r="B57" s="2" t="s">
        <v>163</v>
      </c>
      <c r="C57" s="2" t="s">
        <v>44</v>
      </c>
      <c r="D57" s="2" t="s">
        <v>45</v>
      </c>
      <c r="E57" s="2"/>
      <c r="F57" s="2">
        <v>28348183</v>
      </c>
      <c r="G57" s="2" t="s">
        <v>46</v>
      </c>
      <c r="H57" s="3">
        <v>22182</v>
      </c>
      <c r="I57" s="2" t="s">
        <v>186</v>
      </c>
      <c r="J57" s="2" t="s">
        <v>187</v>
      </c>
      <c r="K57" s="2" t="s">
        <v>61</v>
      </c>
      <c r="L57" s="2"/>
      <c r="M57" s="2"/>
      <c r="N57" s="2"/>
      <c r="O57" s="2"/>
      <c r="P57" s="2"/>
      <c r="Q57" s="2">
        <v>28</v>
      </c>
      <c r="R57" s="2">
        <v>35</v>
      </c>
      <c r="S57" s="2"/>
      <c r="T57" s="2" t="s">
        <v>54</v>
      </c>
      <c r="U57" s="2" t="s">
        <v>54</v>
      </c>
      <c r="V57" s="2" t="s">
        <v>78</v>
      </c>
      <c r="W57" s="2" t="s">
        <v>79</v>
      </c>
      <c r="X57" s="2" t="b">
        <v>0</v>
      </c>
      <c r="Y57" s="2" t="s">
        <v>64</v>
      </c>
      <c r="Z57" s="2" t="s">
        <v>64</v>
      </c>
      <c r="AA57" s="2" t="s">
        <v>147</v>
      </c>
      <c r="AB57" s="2" t="s">
        <v>45</v>
      </c>
      <c r="AC57" s="2"/>
      <c r="AD57" s="2" t="s">
        <v>88</v>
      </c>
      <c r="AE57" s="2" t="s">
        <v>54</v>
      </c>
      <c r="AF57" s="2" t="s">
        <v>54</v>
      </c>
      <c r="AG57" s="2"/>
      <c r="AH57" s="2" t="s">
        <v>54</v>
      </c>
      <c r="AI57" s="2" t="s">
        <v>54</v>
      </c>
      <c r="AJ57" s="2"/>
      <c r="AK57" s="2">
        <v>0</v>
      </c>
      <c r="AL57" s="2" t="s">
        <v>57</v>
      </c>
      <c r="AM57" s="2" t="s">
        <v>57</v>
      </c>
      <c r="AN57" s="2" t="s">
        <v>54</v>
      </c>
      <c r="AO57" s="2">
        <v>0</v>
      </c>
      <c r="AP57" s="2" t="s">
        <v>54</v>
      </c>
      <c r="AQ57" s="2" t="s">
        <v>165</v>
      </c>
    </row>
    <row r="58" spans="1:43" x14ac:dyDescent="0.2">
      <c r="A58" s="2">
        <v>164</v>
      </c>
      <c r="B58" s="2" t="s">
        <v>163</v>
      </c>
      <c r="C58" s="2" t="s">
        <v>44</v>
      </c>
      <c r="D58" s="2" t="s">
        <v>45</v>
      </c>
      <c r="E58" s="2"/>
      <c r="F58" s="2">
        <v>28221539</v>
      </c>
      <c r="G58" s="2" t="s">
        <v>59</v>
      </c>
      <c r="H58" s="3">
        <v>15289</v>
      </c>
      <c r="I58" s="2" t="s">
        <v>186</v>
      </c>
      <c r="J58" s="2" t="s">
        <v>188</v>
      </c>
      <c r="K58" s="2" t="s">
        <v>167</v>
      </c>
      <c r="L58" s="2"/>
      <c r="M58" s="2"/>
      <c r="N58" s="2"/>
      <c r="O58" s="2"/>
      <c r="P58" s="2"/>
      <c r="Q58" s="2">
        <v>40</v>
      </c>
      <c r="R58" s="2">
        <v>60</v>
      </c>
      <c r="S58" s="2" t="s">
        <v>50</v>
      </c>
      <c r="T58" s="2" t="s">
        <v>54</v>
      </c>
      <c r="U58" s="2" t="s">
        <v>54</v>
      </c>
      <c r="V58" s="2" t="s">
        <v>78</v>
      </c>
      <c r="W58" s="2" t="s">
        <v>79</v>
      </c>
      <c r="X58" s="2" t="b">
        <v>0</v>
      </c>
      <c r="Y58" s="2" t="s">
        <v>64</v>
      </c>
      <c r="Z58" s="2" t="s">
        <v>64</v>
      </c>
      <c r="AA58" s="2" t="s">
        <v>147</v>
      </c>
      <c r="AB58" s="2" t="s">
        <v>45</v>
      </c>
      <c r="AC58" s="2"/>
      <c r="AD58" s="2" t="s">
        <v>81</v>
      </c>
      <c r="AE58" s="2" t="s">
        <v>54</v>
      </c>
      <c r="AF58" s="2" t="s">
        <v>54</v>
      </c>
      <c r="AG58" s="2"/>
      <c r="AH58" s="2" t="s">
        <v>54</v>
      </c>
      <c r="AI58" s="2" t="s">
        <v>54</v>
      </c>
      <c r="AJ58" s="2"/>
      <c r="AK58" s="2">
        <v>0</v>
      </c>
      <c r="AL58" s="2" t="s">
        <v>57</v>
      </c>
      <c r="AM58" s="2" t="s">
        <v>57</v>
      </c>
      <c r="AN58" s="2" t="s">
        <v>54</v>
      </c>
      <c r="AO58" s="2">
        <v>0</v>
      </c>
      <c r="AP58" s="2" t="s">
        <v>54</v>
      </c>
      <c r="AQ58" s="2" t="s">
        <v>165</v>
      </c>
    </row>
    <row r="59" spans="1:43" x14ac:dyDescent="0.2">
      <c r="A59" s="2">
        <v>163</v>
      </c>
      <c r="B59" s="2" t="s">
        <v>163</v>
      </c>
      <c r="C59" s="2" t="s">
        <v>44</v>
      </c>
      <c r="D59" s="2" t="s">
        <v>45</v>
      </c>
      <c r="E59" s="2"/>
      <c r="F59" s="2">
        <v>28045169</v>
      </c>
      <c r="G59" s="2" t="s">
        <v>46</v>
      </c>
      <c r="H59" s="3">
        <v>11594</v>
      </c>
      <c r="I59" s="2"/>
      <c r="J59" s="2" t="s">
        <v>189</v>
      </c>
      <c r="K59" s="2" t="s">
        <v>49</v>
      </c>
      <c r="L59" s="2"/>
      <c r="M59" s="2"/>
      <c r="N59" s="2"/>
      <c r="O59" s="2"/>
      <c r="P59" s="2"/>
      <c r="Q59" s="2">
        <v>40</v>
      </c>
      <c r="R59" s="2"/>
      <c r="S59" s="2" t="s">
        <v>62</v>
      </c>
      <c r="T59" s="2" t="s">
        <v>54</v>
      </c>
      <c r="U59" s="2" t="s">
        <v>54</v>
      </c>
      <c r="V59" s="2" t="s">
        <v>70</v>
      </c>
      <c r="W59" s="2" t="s">
        <v>52</v>
      </c>
      <c r="X59" s="2" t="b">
        <v>0</v>
      </c>
      <c r="Y59" s="2" t="s">
        <v>64</v>
      </c>
      <c r="Z59" s="2" t="s">
        <v>64</v>
      </c>
      <c r="AA59" s="2" t="s">
        <v>147</v>
      </c>
      <c r="AB59" s="2" t="s">
        <v>45</v>
      </c>
      <c r="AC59" s="2"/>
      <c r="AD59" s="2" t="s">
        <v>66</v>
      </c>
      <c r="AE59" s="2" t="s">
        <v>54</v>
      </c>
      <c r="AF59" s="2" t="s">
        <v>54</v>
      </c>
      <c r="AG59" s="2"/>
      <c r="AH59" s="2" t="s">
        <v>54</v>
      </c>
      <c r="AI59" s="2" t="s">
        <v>54</v>
      </c>
      <c r="AJ59" s="2"/>
      <c r="AK59" s="2">
        <v>4</v>
      </c>
      <c r="AL59" s="2" t="s">
        <v>190</v>
      </c>
      <c r="AM59" s="2" t="s">
        <v>57</v>
      </c>
      <c r="AN59" s="2" t="s">
        <v>54</v>
      </c>
      <c r="AO59" s="2">
        <v>0</v>
      </c>
      <c r="AP59" s="2" t="s">
        <v>54</v>
      </c>
      <c r="AQ59" s="2" t="s">
        <v>165</v>
      </c>
    </row>
    <row r="60" spans="1:43" x14ac:dyDescent="0.2">
      <c r="A60" s="2">
        <v>162</v>
      </c>
      <c r="B60" s="2" t="s">
        <v>163</v>
      </c>
      <c r="C60" s="2" t="s">
        <v>44</v>
      </c>
      <c r="D60" s="2" t="s">
        <v>45</v>
      </c>
      <c r="E60" s="2"/>
      <c r="F60" s="2">
        <v>28009983</v>
      </c>
      <c r="G60" s="2" t="s">
        <v>46</v>
      </c>
      <c r="H60" s="3">
        <v>14913</v>
      </c>
      <c r="I60" s="2"/>
      <c r="J60" s="2" t="s">
        <v>191</v>
      </c>
      <c r="K60" s="2" t="s">
        <v>49</v>
      </c>
      <c r="L60" s="2"/>
      <c r="M60" s="2"/>
      <c r="N60" s="2"/>
      <c r="O60" s="2"/>
      <c r="P60" s="2"/>
      <c r="Q60" s="2">
        <v>30</v>
      </c>
      <c r="R60" s="2">
        <v>60</v>
      </c>
      <c r="S60" s="2" t="s">
        <v>50</v>
      </c>
      <c r="T60" s="2" t="s">
        <v>54</v>
      </c>
      <c r="U60" s="2" t="s">
        <v>54</v>
      </c>
      <c r="V60" s="2" t="s">
        <v>70</v>
      </c>
      <c r="W60" s="2" t="s">
        <v>52</v>
      </c>
      <c r="X60" s="2" t="b">
        <v>0</v>
      </c>
      <c r="Y60" s="2" t="s">
        <v>53</v>
      </c>
      <c r="Z60" s="2" t="s">
        <v>53</v>
      </c>
      <c r="AA60" s="2" t="s">
        <v>147</v>
      </c>
      <c r="AB60" s="2" t="s">
        <v>45</v>
      </c>
      <c r="AC60" s="2"/>
      <c r="AD60" s="2" t="s">
        <v>66</v>
      </c>
      <c r="AE60" s="2" t="s">
        <v>54</v>
      </c>
      <c r="AF60" s="2" t="s">
        <v>54</v>
      </c>
      <c r="AG60" s="2"/>
      <c r="AH60" s="2" t="s">
        <v>54</v>
      </c>
      <c r="AI60" s="2" t="s">
        <v>55</v>
      </c>
      <c r="AJ60" s="2"/>
      <c r="AK60" s="2">
        <v>4</v>
      </c>
      <c r="AL60" s="2" t="s">
        <v>82</v>
      </c>
      <c r="AM60" s="2" t="s">
        <v>57</v>
      </c>
      <c r="AN60" s="2" t="s">
        <v>54</v>
      </c>
      <c r="AO60" s="2">
        <v>0</v>
      </c>
      <c r="AP60" s="2" t="s">
        <v>55</v>
      </c>
      <c r="AQ60" s="2" t="s">
        <v>165</v>
      </c>
    </row>
    <row r="61" spans="1:43" x14ac:dyDescent="0.2">
      <c r="A61" s="2">
        <v>161</v>
      </c>
      <c r="B61" s="2" t="s">
        <v>163</v>
      </c>
      <c r="C61" s="2" t="s">
        <v>44</v>
      </c>
      <c r="D61" s="2" t="s">
        <v>45</v>
      </c>
      <c r="E61" s="2"/>
      <c r="F61" s="2">
        <v>27812767</v>
      </c>
      <c r="G61" s="2" t="s">
        <v>59</v>
      </c>
      <c r="H61" s="3">
        <v>14492</v>
      </c>
      <c r="I61" s="2"/>
      <c r="J61" s="2" t="s">
        <v>192</v>
      </c>
      <c r="K61" s="2" t="s">
        <v>61</v>
      </c>
      <c r="L61" s="2"/>
      <c r="M61" s="2"/>
      <c r="N61" s="2"/>
      <c r="O61" s="2"/>
      <c r="P61" s="2"/>
      <c r="Q61" s="2">
        <v>47</v>
      </c>
      <c r="R61" s="2">
        <v>60</v>
      </c>
      <c r="S61" s="2" t="s">
        <v>50</v>
      </c>
      <c r="T61" s="2" t="s">
        <v>54</v>
      </c>
      <c r="U61" s="2" t="s">
        <v>54</v>
      </c>
      <c r="V61" s="2" t="s">
        <v>63</v>
      </c>
      <c r="W61" s="2" t="s">
        <v>52</v>
      </c>
      <c r="X61" s="2" t="b">
        <v>0</v>
      </c>
      <c r="Y61" s="2" t="s">
        <v>53</v>
      </c>
      <c r="Z61" s="2" t="s">
        <v>53</v>
      </c>
      <c r="AA61" s="2" t="s">
        <v>147</v>
      </c>
      <c r="AB61" s="2" t="s">
        <v>45</v>
      </c>
      <c r="AC61" s="2" t="s">
        <v>65</v>
      </c>
      <c r="AD61" s="2" t="s">
        <v>66</v>
      </c>
      <c r="AE61" s="2" t="s">
        <v>54</v>
      </c>
      <c r="AF61" s="2" t="s">
        <v>55</v>
      </c>
      <c r="AG61" s="2" t="s">
        <v>178</v>
      </c>
      <c r="AH61" s="2" t="s">
        <v>55</v>
      </c>
      <c r="AI61" s="2" t="s">
        <v>55</v>
      </c>
      <c r="AJ61" s="2"/>
      <c r="AK61" s="2">
        <v>4</v>
      </c>
      <c r="AL61" s="2" t="s">
        <v>82</v>
      </c>
      <c r="AM61" s="2" t="s">
        <v>57</v>
      </c>
      <c r="AN61" s="2" t="s">
        <v>54</v>
      </c>
      <c r="AO61" s="2">
        <v>0</v>
      </c>
      <c r="AP61" s="2" t="s">
        <v>55</v>
      </c>
      <c r="AQ61" s="2" t="s">
        <v>165</v>
      </c>
    </row>
    <row r="62" spans="1:43" x14ac:dyDescent="0.2">
      <c r="A62" s="2">
        <v>160</v>
      </c>
      <c r="B62" s="2" t="s">
        <v>163</v>
      </c>
      <c r="C62" s="2" t="s">
        <v>44</v>
      </c>
      <c r="D62" s="2" t="s">
        <v>45</v>
      </c>
      <c r="E62" s="2"/>
      <c r="F62" s="2">
        <v>27630706</v>
      </c>
      <c r="G62" s="2" t="s">
        <v>59</v>
      </c>
      <c r="H62" s="3">
        <v>20127</v>
      </c>
      <c r="I62" s="2"/>
      <c r="J62" s="2" t="s">
        <v>193</v>
      </c>
      <c r="K62" s="2" t="s">
        <v>167</v>
      </c>
      <c r="L62" s="2">
        <v>6</v>
      </c>
      <c r="M62" s="2">
        <v>12</v>
      </c>
      <c r="N62" s="2"/>
      <c r="O62" s="2"/>
      <c r="P62" s="2"/>
      <c r="Q62" s="2">
        <v>51</v>
      </c>
      <c r="R62" s="2"/>
      <c r="S62" s="2" t="s">
        <v>76</v>
      </c>
      <c r="T62" s="2" t="s">
        <v>54</v>
      </c>
      <c r="U62" s="2" t="s">
        <v>54</v>
      </c>
      <c r="V62" s="2" t="s">
        <v>63</v>
      </c>
      <c r="W62" s="2" t="s">
        <v>85</v>
      </c>
      <c r="X62" s="2" t="b">
        <v>0</v>
      </c>
      <c r="Y62" s="2" t="s">
        <v>64</v>
      </c>
      <c r="Z62" s="2" t="s">
        <v>64</v>
      </c>
      <c r="AA62" s="2" t="s">
        <v>124</v>
      </c>
      <c r="AB62" s="2" t="s">
        <v>45</v>
      </c>
      <c r="AC62" s="2" t="s">
        <v>80</v>
      </c>
      <c r="AD62" s="2" t="s">
        <v>66</v>
      </c>
      <c r="AE62" s="2" t="s">
        <v>54</v>
      </c>
      <c r="AF62" s="2" t="s">
        <v>55</v>
      </c>
      <c r="AG62" s="2" t="s">
        <v>149</v>
      </c>
      <c r="AH62" s="2" t="s">
        <v>54</v>
      </c>
      <c r="AI62" s="2" t="s">
        <v>54</v>
      </c>
      <c r="AJ62" s="2"/>
      <c r="AK62" s="2">
        <v>0</v>
      </c>
      <c r="AL62" s="2" t="s">
        <v>194</v>
      </c>
      <c r="AM62" s="2" t="s">
        <v>195</v>
      </c>
      <c r="AN62" s="2" t="s">
        <v>54</v>
      </c>
      <c r="AO62" s="2">
        <v>0</v>
      </c>
      <c r="AP62" s="2" t="s">
        <v>54</v>
      </c>
      <c r="AQ62" s="2" t="s">
        <v>165</v>
      </c>
    </row>
    <row r="63" spans="1:43" x14ac:dyDescent="0.2">
      <c r="A63" s="2">
        <v>159</v>
      </c>
      <c r="B63" s="2" t="s">
        <v>163</v>
      </c>
      <c r="C63" s="2" t="s">
        <v>44</v>
      </c>
      <c r="D63" s="2" t="s">
        <v>45</v>
      </c>
      <c r="E63" s="2"/>
      <c r="F63" s="2">
        <v>27611482</v>
      </c>
      <c r="G63" s="2" t="s">
        <v>59</v>
      </c>
      <c r="H63" s="3">
        <v>13862</v>
      </c>
      <c r="I63" s="2" t="s">
        <v>196</v>
      </c>
      <c r="J63" s="2" t="s">
        <v>197</v>
      </c>
      <c r="K63" s="2" t="s">
        <v>49</v>
      </c>
      <c r="L63" s="2"/>
      <c r="M63" s="2"/>
      <c r="N63" s="2"/>
      <c r="O63" s="2"/>
      <c r="P63" s="2"/>
      <c r="Q63" s="2">
        <v>130</v>
      </c>
      <c r="R63" s="2"/>
      <c r="S63" s="2" t="s">
        <v>76</v>
      </c>
      <c r="T63" s="2" t="s">
        <v>54</v>
      </c>
      <c r="U63" s="2" t="s">
        <v>54</v>
      </c>
      <c r="V63" s="2" t="s">
        <v>63</v>
      </c>
      <c r="W63" s="2" t="s">
        <v>160</v>
      </c>
      <c r="X63" s="2" t="b">
        <v>1</v>
      </c>
      <c r="Y63" s="2" t="s">
        <v>53</v>
      </c>
      <c r="Z63" s="2" t="s">
        <v>64</v>
      </c>
      <c r="AA63" s="2" t="s">
        <v>124</v>
      </c>
      <c r="AB63" s="2" t="s">
        <v>45</v>
      </c>
      <c r="AC63" s="2" t="s">
        <v>65</v>
      </c>
      <c r="AD63" s="2" t="s">
        <v>66</v>
      </c>
      <c r="AE63" s="2" t="s">
        <v>54</v>
      </c>
      <c r="AF63" s="2" t="s">
        <v>88</v>
      </c>
      <c r="AG63" s="2" t="s">
        <v>198</v>
      </c>
      <c r="AH63" s="2" t="s">
        <v>54</v>
      </c>
      <c r="AI63" s="2" t="s">
        <v>55</v>
      </c>
      <c r="AJ63" s="2"/>
      <c r="AK63" s="2">
        <v>12</v>
      </c>
      <c r="AL63" s="2" t="s">
        <v>71</v>
      </c>
      <c r="AM63" s="2" t="s">
        <v>72</v>
      </c>
      <c r="AN63" s="2" t="s">
        <v>55</v>
      </c>
      <c r="AO63" s="2">
        <v>1</v>
      </c>
      <c r="AP63" s="2" t="s">
        <v>54</v>
      </c>
      <c r="AQ63" s="2" t="s">
        <v>165</v>
      </c>
    </row>
    <row r="64" spans="1:43" x14ac:dyDescent="0.2">
      <c r="A64" s="2">
        <v>158</v>
      </c>
      <c r="B64" s="2" t="s">
        <v>163</v>
      </c>
      <c r="C64" s="2" t="s">
        <v>44</v>
      </c>
      <c r="D64" s="2" t="s">
        <v>45</v>
      </c>
      <c r="E64" s="2"/>
      <c r="F64" s="2">
        <v>27611482</v>
      </c>
      <c r="G64" s="2" t="s">
        <v>59</v>
      </c>
      <c r="H64" s="3">
        <v>13862</v>
      </c>
      <c r="I64" s="2" t="s">
        <v>196</v>
      </c>
      <c r="J64" s="2" t="s">
        <v>197</v>
      </c>
      <c r="K64" s="2" t="s">
        <v>49</v>
      </c>
      <c r="L64" s="2"/>
      <c r="M64" s="2"/>
      <c r="N64" s="2"/>
      <c r="O64" s="2"/>
      <c r="P64" s="2"/>
      <c r="Q64" s="2">
        <v>130</v>
      </c>
      <c r="R64" s="2"/>
      <c r="S64" s="2" t="s">
        <v>76</v>
      </c>
      <c r="T64" s="2" t="s">
        <v>54</v>
      </c>
      <c r="U64" s="2" t="s">
        <v>54</v>
      </c>
      <c r="V64" s="2" t="s">
        <v>63</v>
      </c>
      <c r="W64" s="2" t="s">
        <v>160</v>
      </c>
      <c r="X64" s="2" t="b">
        <v>1</v>
      </c>
      <c r="Y64" s="2" t="s">
        <v>53</v>
      </c>
      <c r="Z64" s="2" t="s">
        <v>64</v>
      </c>
      <c r="AA64" s="2" t="s">
        <v>124</v>
      </c>
      <c r="AB64" s="2" t="s">
        <v>45</v>
      </c>
      <c r="AC64" s="2" t="s">
        <v>65</v>
      </c>
      <c r="AD64" s="2" t="s">
        <v>66</v>
      </c>
      <c r="AE64" s="2" t="s">
        <v>54</v>
      </c>
      <c r="AF64" s="2" t="s">
        <v>88</v>
      </c>
      <c r="AG64" s="2" t="s">
        <v>198</v>
      </c>
      <c r="AH64" s="2" t="s">
        <v>54</v>
      </c>
      <c r="AI64" s="2" t="s">
        <v>55</v>
      </c>
      <c r="AJ64" s="2"/>
      <c r="AK64" s="2">
        <v>12</v>
      </c>
      <c r="AL64" s="2" t="s">
        <v>71</v>
      </c>
      <c r="AM64" s="2" t="s">
        <v>72</v>
      </c>
      <c r="AN64" s="2" t="s">
        <v>55</v>
      </c>
      <c r="AO64" s="2">
        <v>0</v>
      </c>
      <c r="AP64" s="2" t="s">
        <v>54</v>
      </c>
      <c r="AQ64" s="2" t="s">
        <v>165</v>
      </c>
    </row>
    <row r="65" spans="1:43" x14ac:dyDescent="0.2">
      <c r="A65" s="2">
        <v>157</v>
      </c>
      <c r="B65" s="2" t="s">
        <v>163</v>
      </c>
      <c r="C65" s="2" t="s">
        <v>44</v>
      </c>
      <c r="D65" s="2" t="s">
        <v>45</v>
      </c>
      <c r="E65" s="2"/>
      <c r="F65" s="2">
        <v>26137653</v>
      </c>
      <c r="G65" s="2" t="s">
        <v>46</v>
      </c>
      <c r="H65" s="3">
        <v>11243</v>
      </c>
      <c r="I65" s="2"/>
      <c r="J65" s="2" t="s">
        <v>199</v>
      </c>
      <c r="K65" s="2" t="s">
        <v>167</v>
      </c>
      <c r="L65" s="2"/>
      <c r="M65" s="2"/>
      <c r="N65" s="2"/>
      <c r="O65" s="2"/>
      <c r="P65" s="2"/>
      <c r="Q65" s="2">
        <v>55</v>
      </c>
      <c r="R65" s="2">
        <v>45</v>
      </c>
      <c r="S65" s="2" t="s">
        <v>50</v>
      </c>
      <c r="T65" s="2" t="s">
        <v>54</v>
      </c>
      <c r="U65" s="2" t="s">
        <v>54</v>
      </c>
      <c r="V65" s="2" t="s">
        <v>70</v>
      </c>
      <c r="W65" s="2" t="s">
        <v>52</v>
      </c>
      <c r="X65" s="2" t="b">
        <v>0</v>
      </c>
      <c r="Y65" s="2" t="s">
        <v>53</v>
      </c>
      <c r="Z65" s="2" t="s">
        <v>64</v>
      </c>
      <c r="AA65" s="2" t="s">
        <v>147</v>
      </c>
      <c r="AB65" s="2" t="s">
        <v>45</v>
      </c>
      <c r="AC65" s="2"/>
      <c r="AD65" s="2" t="s">
        <v>66</v>
      </c>
      <c r="AE65" s="2" t="s">
        <v>54</v>
      </c>
      <c r="AF65" s="2" t="s">
        <v>54</v>
      </c>
      <c r="AG65" s="2"/>
      <c r="AH65" s="2" t="s">
        <v>54</v>
      </c>
      <c r="AI65" s="2" t="s">
        <v>55</v>
      </c>
      <c r="AJ65" s="2"/>
      <c r="AK65" s="2">
        <v>4</v>
      </c>
      <c r="AL65" s="2" t="s">
        <v>131</v>
      </c>
      <c r="AM65" s="2" t="s">
        <v>57</v>
      </c>
      <c r="AN65" s="2" t="s">
        <v>54</v>
      </c>
      <c r="AO65" s="2">
        <v>0</v>
      </c>
      <c r="AP65" s="2" t="s">
        <v>54</v>
      </c>
      <c r="AQ65" s="2" t="s">
        <v>165</v>
      </c>
    </row>
    <row r="66" spans="1:43" x14ac:dyDescent="0.2">
      <c r="A66" s="2">
        <v>156</v>
      </c>
      <c r="B66" s="2" t="s">
        <v>163</v>
      </c>
      <c r="C66" s="2" t="s">
        <v>44</v>
      </c>
      <c r="D66" s="2" t="s">
        <v>45</v>
      </c>
      <c r="E66" s="2"/>
      <c r="F66" s="2">
        <v>26109512</v>
      </c>
      <c r="G66" s="2" t="s">
        <v>46</v>
      </c>
      <c r="H66" s="3">
        <v>22368</v>
      </c>
      <c r="I66" s="2" t="s">
        <v>200</v>
      </c>
      <c r="J66" s="2" t="s">
        <v>201</v>
      </c>
      <c r="K66" s="2" t="s">
        <v>61</v>
      </c>
      <c r="L66" s="2"/>
      <c r="M66" s="2"/>
      <c r="N66" s="2"/>
      <c r="O66" s="2"/>
      <c r="P66" s="2"/>
      <c r="Q66" s="2">
        <v>54</v>
      </c>
      <c r="R66" s="2"/>
      <c r="S66" s="2" t="s">
        <v>62</v>
      </c>
      <c r="T66" s="2" t="s">
        <v>54</v>
      </c>
      <c r="U66" s="2" t="s">
        <v>54</v>
      </c>
      <c r="V66" s="2" t="s">
        <v>70</v>
      </c>
      <c r="W66" s="2" t="s">
        <v>87</v>
      </c>
      <c r="X66" s="2" t="b">
        <v>0</v>
      </c>
      <c r="Y66" s="2" t="s">
        <v>64</v>
      </c>
      <c r="Z66" s="2" t="s">
        <v>53</v>
      </c>
      <c r="AA66" s="2" t="s">
        <v>147</v>
      </c>
      <c r="AB66" s="2" t="s">
        <v>45</v>
      </c>
      <c r="AC66" s="2" t="s">
        <v>65</v>
      </c>
      <c r="AD66" s="2" t="s">
        <v>66</v>
      </c>
      <c r="AE66" s="2" t="s">
        <v>54</v>
      </c>
      <c r="AF66" s="2" t="s">
        <v>54</v>
      </c>
      <c r="AG66" s="2"/>
      <c r="AH66" s="2" t="s">
        <v>54</v>
      </c>
      <c r="AI66" s="2" t="s">
        <v>54</v>
      </c>
      <c r="AJ66" s="2"/>
      <c r="AK66" s="2">
        <v>3</v>
      </c>
      <c r="AL66" s="2" t="s">
        <v>108</v>
      </c>
      <c r="AM66" s="2" t="s">
        <v>57</v>
      </c>
      <c r="AN66" s="2" t="s">
        <v>54</v>
      </c>
      <c r="AO66" s="2">
        <v>0</v>
      </c>
      <c r="AP66" s="2" t="s">
        <v>55</v>
      </c>
      <c r="AQ66" s="2" t="s">
        <v>165</v>
      </c>
    </row>
    <row r="67" spans="1:43" x14ac:dyDescent="0.2">
      <c r="A67" s="2">
        <v>155</v>
      </c>
      <c r="B67" s="2" t="s">
        <v>163</v>
      </c>
      <c r="C67" s="2" t="s">
        <v>44</v>
      </c>
      <c r="D67" s="2" t="s">
        <v>45</v>
      </c>
      <c r="E67" s="2"/>
      <c r="F67" s="2">
        <v>26109512</v>
      </c>
      <c r="G67" s="2" t="s">
        <v>46</v>
      </c>
      <c r="H67" s="3">
        <v>22368</v>
      </c>
      <c r="I67" s="2" t="s">
        <v>200</v>
      </c>
      <c r="J67" s="2" t="s">
        <v>201</v>
      </c>
      <c r="K67" s="2" t="s">
        <v>61</v>
      </c>
      <c r="L67" s="2"/>
      <c r="M67" s="2"/>
      <c r="N67" s="2"/>
      <c r="O67" s="2"/>
      <c r="P67" s="2"/>
      <c r="Q67" s="2">
        <v>54</v>
      </c>
      <c r="R67" s="2"/>
      <c r="S67" s="2" t="s">
        <v>62</v>
      </c>
      <c r="T67" s="2" t="s">
        <v>54</v>
      </c>
      <c r="U67" s="2" t="s">
        <v>54</v>
      </c>
      <c r="V67" s="2" t="s">
        <v>70</v>
      </c>
      <c r="W67" s="2" t="s">
        <v>87</v>
      </c>
      <c r="X67" s="2" t="b">
        <v>0</v>
      </c>
      <c r="Y67" s="2" t="s">
        <v>64</v>
      </c>
      <c r="Z67" s="2" t="s">
        <v>53</v>
      </c>
      <c r="AA67" s="2" t="s">
        <v>147</v>
      </c>
      <c r="AB67" s="2" t="s">
        <v>45</v>
      </c>
      <c r="AC67" s="2" t="s">
        <v>65</v>
      </c>
      <c r="AD67" s="2" t="s">
        <v>66</v>
      </c>
      <c r="AE67" s="2" t="s">
        <v>54</v>
      </c>
      <c r="AF67" s="2" t="s">
        <v>54</v>
      </c>
      <c r="AG67" s="2"/>
      <c r="AH67" s="2" t="s">
        <v>54</v>
      </c>
      <c r="AI67" s="2" t="s">
        <v>54</v>
      </c>
      <c r="AJ67" s="2"/>
      <c r="AK67" s="2">
        <v>3</v>
      </c>
      <c r="AL67" s="2" t="s">
        <v>108</v>
      </c>
      <c r="AM67" s="2" t="s">
        <v>57</v>
      </c>
      <c r="AN67" s="2" t="s">
        <v>54</v>
      </c>
      <c r="AO67" s="2">
        <v>0</v>
      </c>
      <c r="AP67" s="2" t="s">
        <v>55</v>
      </c>
      <c r="AQ67" s="2" t="s">
        <v>165</v>
      </c>
    </row>
    <row r="68" spans="1:43" x14ac:dyDescent="0.2">
      <c r="A68" s="2">
        <v>154</v>
      </c>
      <c r="B68" s="2" t="s">
        <v>163</v>
      </c>
      <c r="C68" s="2" t="s">
        <v>44</v>
      </c>
      <c r="D68" s="2" t="s">
        <v>45</v>
      </c>
      <c r="E68" s="2"/>
      <c r="F68" s="2">
        <v>25470964</v>
      </c>
      <c r="G68" s="2" t="s">
        <v>46</v>
      </c>
      <c r="H68" s="3">
        <v>21762</v>
      </c>
      <c r="I68" s="2"/>
      <c r="J68" s="2" t="s">
        <v>202</v>
      </c>
      <c r="K68" s="2" t="s">
        <v>49</v>
      </c>
      <c r="L68" s="2"/>
      <c r="M68" s="2"/>
      <c r="N68" s="2"/>
      <c r="O68" s="2"/>
      <c r="P68" s="2"/>
      <c r="Q68" s="2">
        <v>50</v>
      </c>
      <c r="R68" s="2">
        <v>50</v>
      </c>
      <c r="S68" s="2" t="s">
        <v>50</v>
      </c>
      <c r="T68" s="2" t="s">
        <v>54</v>
      </c>
      <c r="U68" s="2" t="s">
        <v>54</v>
      </c>
      <c r="V68" s="2" t="s">
        <v>51</v>
      </c>
      <c r="W68" s="2" t="s">
        <v>85</v>
      </c>
      <c r="X68" s="2" t="b">
        <v>0</v>
      </c>
      <c r="Y68" s="2" t="s">
        <v>64</v>
      </c>
      <c r="Z68" s="2" t="s">
        <v>64</v>
      </c>
      <c r="AA68" s="2" t="s">
        <v>147</v>
      </c>
      <c r="AB68" s="2" t="s">
        <v>45</v>
      </c>
      <c r="AC68" s="2"/>
      <c r="AD68" s="2" t="s">
        <v>66</v>
      </c>
      <c r="AE68" s="2" t="s">
        <v>54</v>
      </c>
      <c r="AF68" s="2" t="s">
        <v>54</v>
      </c>
      <c r="AG68" s="2"/>
      <c r="AH68" s="2" t="s">
        <v>55</v>
      </c>
      <c r="AI68" s="2" t="s">
        <v>54</v>
      </c>
      <c r="AJ68" s="2"/>
      <c r="AK68" s="2">
        <v>0</v>
      </c>
      <c r="AL68" s="2" t="s">
        <v>82</v>
      </c>
      <c r="AM68" s="2" t="s">
        <v>57</v>
      </c>
      <c r="AN68" s="2"/>
      <c r="AO68" s="2">
        <v>0</v>
      </c>
      <c r="AP68" s="2" t="s">
        <v>54</v>
      </c>
      <c r="AQ68" s="2" t="s">
        <v>165</v>
      </c>
    </row>
    <row r="69" spans="1:43" x14ac:dyDescent="0.2">
      <c r="A69" s="2">
        <v>153</v>
      </c>
      <c r="B69" s="2" t="s">
        <v>163</v>
      </c>
      <c r="C69" s="2" t="s">
        <v>44</v>
      </c>
      <c r="D69" s="2" t="s">
        <v>45</v>
      </c>
      <c r="E69" s="2"/>
      <c r="F69" s="2">
        <v>25470964</v>
      </c>
      <c r="G69" s="2" t="s">
        <v>46</v>
      </c>
      <c r="H69" s="3">
        <v>21762</v>
      </c>
      <c r="I69" s="2"/>
      <c r="J69" s="2" t="s">
        <v>202</v>
      </c>
      <c r="K69" s="2" t="s">
        <v>49</v>
      </c>
      <c r="L69" s="2"/>
      <c r="M69" s="2"/>
      <c r="N69" s="2"/>
      <c r="O69" s="2"/>
      <c r="P69" s="2"/>
      <c r="Q69" s="2">
        <v>50</v>
      </c>
      <c r="R69" s="2">
        <v>50</v>
      </c>
      <c r="S69" s="2" t="s">
        <v>50</v>
      </c>
      <c r="T69" s="2" t="s">
        <v>54</v>
      </c>
      <c r="U69" s="2" t="s">
        <v>54</v>
      </c>
      <c r="V69" s="2" t="s">
        <v>51</v>
      </c>
      <c r="W69" s="2" t="s">
        <v>85</v>
      </c>
      <c r="X69" s="2" t="b">
        <v>0</v>
      </c>
      <c r="Y69" s="2" t="s">
        <v>64</v>
      </c>
      <c r="Z69" s="2" t="s">
        <v>64</v>
      </c>
      <c r="AA69" s="2" t="s">
        <v>147</v>
      </c>
      <c r="AB69" s="2" t="s">
        <v>45</v>
      </c>
      <c r="AC69" s="2"/>
      <c r="AD69" s="2" t="s">
        <v>66</v>
      </c>
      <c r="AE69" s="2" t="s">
        <v>54</v>
      </c>
      <c r="AF69" s="2" t="s">
        <v>54</v>
      </c>
      <c r="AG69" s="2"/>
      <c r="AH69" s="2" t="s">
        <v>55</v>
      </c>
      <c r="AI69" s="2" t="s">
        <v>54</v>
      </c>
      <c r="AJ69" s="2"/>
      <c r="AK69" s="2">
        <v>0</v>
      </c>
      <c r="AL69" s="2" t="s">
        <v>82</v>
      </c>
      <c r="AM69" s="2" t="s">
        <v>57</v>
      </c>
      <c r="AN69" s="2"/>
      <c r="AO69" s="2">
        <v>0</v>
      </c>
      <c r="AP69" s="2" t="s">
        <v>54</v>
      </c>
      <c r="AQ69" s="2" t="s">
        <v>165</v>
      </c>
    </row>
    <row r="70" spans="1:43" x14ac:dyDescent="0.2">
      <c r="A70" s="2">
        <v>152</v>
      </c>
      <c r="B70" s="2" t="s">
        <v>43</v>
      </c>
      <c r="C70" s="2" t="s">
        <v>145</v>
      </c>
      <c r="D70" s="2" t="s">
        <v>45</v>
      </c>
      <c r="E70" s="2"/>
      <c r="F70" s="2">
        <v>39642848</v>
      </c>
      <c r="G70" s="2" t="s">
        <v>46</v>
      </c>
      <c r="H70" s="3">
        <v>13277</v>
      </c>
      <c r="I70" s="2"/>
      <c r="J70" s="2" t="s">
        <v>146</v>
      </c>
      <c r="K70" s="2"/>
      <c r="L70" s="2"/>
      <c r="M70" s="2"/>
      <c r="N70" s="2"/>
      <c r="O70" s="2"/>
      <c r="P70" s="2"/>
      <c r="Q70" s="2">
        <v>56</v>
      </c>
      <c r="R70" s="2">
        <v>60</v>
      </c>
      <c r="S70" s="2" t="s">
        <v>62</v>
      </c>
      <c r="T70" s="2" t="s">
        <v>54</v>
      </c>
      <c r="U70" s="2" t="s">
        <v>54</v>
      </c>
      <c r="V70" s="2" t="s">
        <v>70</v>
      </c>
      <c r="W70" s="2" t="s">
        <v>52</v>
      </c>
      <c r="X70" s="2" t="b">
        <v>1</v>
      </c>
      <c r="Y70" s="2" t="s">
        <v>53</v>
      </c>
      <c r="Z70" s="2" t="s">
        <v>53</v>
      </c>
      <c r="AA70" s="2" t="s">
        <v>147</v>
      </c>
      <c r="AB70" s="2" t="s">
        <v>45</v>
      </c>
      <c r="AC70" s="2" t="s">
        <v>65</v>
      </c>
      <c r="AD70" s="2" t="s">
        <v>66</v>
      </c>
      <c r="AE70" s="2" t="s">
        <v>54</v>
      </c>
      <c r="AF70" s="2" t="s">
        <v>54</v>
      </c>
      <c r="AG70" s="2"/>
      <c r="AH70" s="2" t="s">
        <v>54</v>
      </c>
      <c r="AI70" s="2" t="s">
        <v>55</v>
      </c>
      <c r="AJ70" s="2"/>
      <c r="AK70" s="2">
        <v>5</v>
      </c>
      <c r="AL70" s="2" t="s">
        <v>82</v>
      </c>
      <c r="AM70" s="2" t="s">
        <v>57</v>
      </c>
      <c r="AN70" s="2" t="s">
        <v>55</v>
      </c>
      <c r="AO70" s="2">
        <v>0</v>
      </c>
      <c r="AP70" s="2" t="s">
        <v>55</v>
      </c>
      <c r="AQ70" s="2" t="s">
        <v>58</v>
      </c>
    </row>
    <row r="71" spans="1:43" x14ac:dyDescent="0.2">
      <c r="A71" s="2">
        <v>151</v>
      </c>
      <c r="B71" s="2" t="s">
        <v>43</v>
      </c>
      <c r="C71" s="2" t="s">
        <v>145</v>
      </c>
      <c r="D71" s="2" t="s">
        <v>45</v>
      </c>
      <c r="E71" s="2"/>
      <c r="F71" s="2">
        <v>39704077</v>
      </c>
      <c r="G71" s="2" t="s">
        <v>46</v>
      </c>
      <c r="H71" s="3">
        <v>23876</v>
      </c>
      <c r="I71" s="2"/>
      <c r="J71" s="2" t="s">
        <v>148</v>
      </c>
      <c r="K71" s="2" t="s">
        <v>49</v>
      </c>
      <c r="L71" s="2"/>
      <c r="M71" s="2"/>
      <c r="N71" s="2"/>
      <c r="O71" s="2"/>
      <c r="P71" s="2"/>
      <c r="Q71" s="2">
        <v>80</v>
      </c>
      <c r="R71" s="2"/>
      <c r="S71" s="2" t="s">
        <v>76</v>
      </c>
      <c r="T71" s="2"/>
      <c r="U71" s="2"/>
      <c r="V71" s="2" t="s">
        <v>63</v>
      </c>
      <c r="W71" s="2" t="s">
        <v>52</v>
      </c>
      <c r="X71" s="2" t="b">
        <v>1</v>
      </c>
      <c r="Y71" s="2" t="s">
        <v>53</v>
      </c>
      <c r="Z71" s="2" t="s">
        <v>53</v>
      </c>
      <c r="AA71" s="2"/>
      <c r="AB71" s="2" t="s">
        <v>45</v>
      </c>
      <c r="AC71" s="2" t="s">
        <v>80</v>
      </c>
      <c r="AD71" s="2" t="s">
        <v>66</v>
      </c>
      <c r="AE71" s="2" t="s">
        <v>54</v>
      </c>
      <c r="AF71" s="2" t="s">
        <v>55</v>
      </c>
      <c r="AG71" s="2" t="s">
        <v>149</v>
      </c>
      <c r="AH71" s="2" t="s">
        <v>54</v>
      </c>
      <c r="AI71" s="2" t="s">
        <v>55</v>
      </c>
      <c r="AJ71" s="2"/>
      <c r="AK71" s="2">
        <v>5</v>
      </c>
      <c r="AL71" s="2" t="s">
        <v>150</v>
      </c>
      <c r="AM71" s="2" t="s">
        <v>57</v>
      </c>
      <c r="AN71" s="2" t="s">
        <v>55</v>
      </c>
      <c r="AO71" s="2">
        <v>0</v>
      </c>
      <c r="AP71" s="2" t="s">
        <v>55</v>
      </c>
      <c r="AQ71" s="2" t="s">
        <v>58</v>
      </c>
    </row>
    <row r="72" spans="1:43" x14ac:dyDescent="0.2">
      <c r="A72" s="2">
        <v>150</v>
      </c>
      <c r="B72" s="2" t="s">
        <v>43</v>
      </c>
      <c r="C72" s="2" t="s">
        <v>44</v>
      </c>
      <c r="D72" s="2" t="s">
        <v>45</v>
      </c>
      <c r="E72" s="2"/>
      <c r="F72" s="2">
        <v>39948344</v>
      </c>
      <c r="G72" s="2" t="s">
        <v>46</v>
      </c>
      <c r="H72" s="3">
        <v>15176</v>
      </c>
      <c r="I72" s="2"/>
      <c r="J72" s="2" t="s">
        <v>151</v>
      </c>
      <c r="K72" s="2" t="s">
        <v>61</v>
      </c>
      <c r="L72" s="2"/>
      <c r="M72" s="2"/>
      <c r="N72" s="2"/>
      <c r="O72" s="2"/>
      <c r="P72" s="2"/>
      <c r="Q72" s="2">
        <v>45</v>
      </c>
      <c r="R72" s="2">
        <v>20</v>
      </c>
      <c r="S72" s="2" t="s">
        <v>76</v>
      </c>
      <c r="T72" s="2" t="s">
        <v>54</v>
      </c>
      <c r="U72" s="2" t="s">
        <v>54</v>
      </c>
      <c r="V72" s="2" t="s">
        <v>63</v>
      </c>
      <c r="W72" s="2" t="s">
        <v>87</v>
      </c>
      <c r="X72" s="2" t="b">
        <v>0</v>
      </c>
      <c r="Y72" s="2" t="s">
        <v>53</v>
      </c>
      <c r="Z72" s="2" t="s">
        <v>64</v>
      </c>
      <c r="AA72" s="2" t="s">
        <v>147</v>
      </c>
      <c r="AB72" s="2" t="s">
        <v>45</v>
      </c>
      <c r="AC72" s="2" t="s">
        <v>80</v>
      </c>
      <c r="AD72" s="2" t="s">
        <v>66</v>
      </c>
      <c r="AE72" s="2" t="s">
        <v>54</v>
      </c>
      <c r="AF72" s="2" t="s">
        <v>55</v>
      </c>
      <c r="AG72" s="2" t="s">
        <v>203</v>
      </c>
      <c r="AH72" s="2" t="s">
        <v>54</v>
      </c>
      <c r="AI72" s="2" t="s">
        <v>55</v>
      </c>
      <c r="AJ72" s="2"/>
      <c r="AK72" s="2">
        <v>3</v>
      </c>
      <c r="AL72" s="2" t="s">
        <v>74</v>
      </c>
      <c r="AM72" s="2" t="s">
        <v>57</v>
      </c>
      <c r="AN72" s="2" t="s">
        <v>54</v>
      </c>
      <c r="AO72" s="2">
        <v>0</v>
      </c>
      <c r="AP72" s="2" t="s">
        <v>54</v>
      </c>
      <c r="AQ72" s="2" t="s">
        <v>58</v>
      </c>
    </row>
    <row r="73" spans="1:43" x14ac:dyDescent="0.2">
      <c r="A73" s="2">
        <v>149</v>
      </c>
      <c r="B73" s="2" t="s">
        <v>43</v>
      </c>
      <c r="C73" s="2" t="s">
        <v>44</v>
      </c>
      <c r="D73" s="2" t="s">
        <v>45</v>
      </c>
      <c r="E73" s="2"/>
      <c r="F73" s="2">
        <v>39987292</v>
      </c>
      <c r="G73" s="2" t="s">
        <v>46</v>
      </c>
      <c r="H73" s="3">
        <v>18314</v>
      </c>
      <c r="I73" s="2"/>
      <c r="J73" s="2" t="s">
        <v>153</v>
      </c>
      <c r="K73" s="2" t="s">
        <v>61</v>
      </c>
      <c r="L73" s="2"/>
      <c r="M73" s="2"/>
      <c r="N73" s="2"/>
      <c r="O73" s="2"/>
      <c r="P73" s="2">
        <v>12</v>
      </c>
      <c r="Q73" s="2">
        <v>32</v>
      </c>
      <c r="R73" s="2">
        <v>10</v>
      </c>
      <c r="S73" s="2" t="s">
        <v>76</v>
      </c>
      <c r="T73" s="2" t="s">
        <v>54</v>
      </c>
      <c r="U73" s="2" t="s">
        <v>54</v>
      </c>
      <c r="V73" s="2" t="s">
        <v>78</v>
      </c>
      <c r="W73" s="2" t="s">
        <v>52</v>
      </c>
      <c r="X73" s="2" t="b">
        <v>0</v>
      </c>
      <c r="Y73" s="2" t="s">
        <v>64</v>
      </c>
      <c r="Z73" s="2" t="s">
        <v>64</v>
      </c>
      <c r="AA73" s="2" t="s">
        <v>147</v>
      </c>
      <c r="AB73" s="2" t="s">
        <v>45</v>
      </c>
      <c r="AC73" s="2" t="s">
        <v>80</v>
      </c>
      <c r="AD73" s="2" t="s">
        <v>81</v>
      </c>
      <c r="AE73" s="2" t="s">
        <v>54</v>
      </c>
      <c r="AF73" s="2" t="s">
        <v>54</v>
      </c>
      <c r="AG73" s="2"/>
      <c r="AH73" s="2" t="s">
        <v>54</v>
      </c>
      <c r="AI73" s="2" t="s">
        <v>54</v>
      </c>
      <c r="AJ73" s="2"/>
      <c r="AK73" s="2">
        <v>6</v>
      </c>
      <c r="AL73" s="2" t="s">
        <v>82</v>
      </c>
      <c r="AM73" s="2" t="s">
        <v>57</v>
      </c>
      <c r="AN73" s="2" t="s">
        <v>54</v>
      </c>
      <c r="AO73" s="2">
        <v>0</v>
      </c>
      <c r="AP73" s="2" t="s">
        <v>54</v>
      </c>
      <c r="AQ73" s="2" t="s">
        <v>58</v>
      </c>
    </row>
    <row r="74" spans="1:43" x14ac:dyDescent="0.2">
      <c r="A74" s="2">
        <v>148</v>
      </c>
      <c r="B74" s="2" t="s">
        <v>43</v>
      </c>
      <c r="C74" s="2" t="s">
        <v>44</v>
      </c>
      <c r="D74" s="2" t="s">
        <v>45</v>
      </c>
      <c r="E74" s="2"/>
      <c r="F74" s="2">
        <v>40365405</v>
      </c>
      <c r="G74" s="2" t="s">
        <v>59</v>
      </c>
      <c r="H74" s="3">
        <v>28066</v>
      </c>
      <c r="I74" s="2"/>
      <c r="J74" s="2" t="s">
        <v>155</v>
      </c>
      <c r="K74" s="2" t="s">
        <v>61</v>
      </c>
      <c r="L74" s="2"/>
      <c r="M74" s="2"/>
      <c r="N74" s="2"/>
      <c r="O74" s="2"/>
      <c r="P74" s="2">
        <v>12</v>
      </c>
      <c r="Q74" s="2">
        <v>70</v>
      </c>
      <c r="R74" s="2">
        <v>60</v>
      </c>
      <c r="S74" s="2" t="s">
        <v>62</v>
      </c>
      <c r="T74" s="2" t="s">
        <v>54</v>
      </c>
      <c r="U74" s="2"/>
      <c r="V74" s="2" t="s">
        <v>78</v>
      </c>
      <c r="W74" s="2" t="s">
        <v>52</v>
      </c>
      <c r="X74" s="2" t="b">
        <v>0</v>
      </c>
      <c r="Y74" s="2" t="s">
        <v>64</v>
      </c>
      <c r="Z74" s="2" t="s">
        <v>64</v>
      </c>
      <c r="AA74" s="2" t="s">
        <v>147</v>
      </c>
      <c r="AB74" s="2" t="s">
        <v>45</v>
      </c>
      <c r="AC74" s="2" t="s">
        <v>65</v>
      </c>
      <c r="AD74" s="2" t="s">
        <v>81</v>
      </c>
      <c r="AE74" s="2" t="s">
        <v>54</v>
      </c>
      <c r="AF74" s="2" t="s">
        <v>54</v>
      </c>
      <c r="AG74" s="2"/>
      <c r="AH74" s="2" t="s">
        <v>54</v>
      </c>
      <c r="AI74" s="2" t="s">
        <v>54</v>
      </c>
      <c r="AJ74" s="2"/>
      <c r="AK74" s="2">
        <v>4</v>
      </c>
      <c r="AL74" s="2" t="s">
        <v>114</v>
      </c>
      <c r="AM74" s="2" t="s">
        <v>57</v>
      </c>
      <c r="AN74" s="2" t="s">
        <v>54</v>
      </c>
      <c r="AO74" s="2">
        <v>0</v>
      </c>
      <c r="AP74" s="2" t="s">
        <v>54</v>
      </c>
      <c r="AQ74" s="2" t="s">
        <v>58</v>
      </c>
    </row>
    <row r="75" spans="1:43" x14ac:dyDescent="0.2">
      <c r="A75" s="2">
        <v>147</v>
      </c>
      <c r="B75" s="2" t="s">
        <v>43</v>
      </c>
      <c r="C75" s="2" t="s">
        <v>44</v>
      </c>
      <c r="D75" s="2" t="s">
        <v>45</v>
      </c>
      <c r="E75" s="2"/>
      <c r="F75" s="2">
        <v>40371759</v>
      </c>
      <c r="G75" s="2" t="s">
        <v>59</v>
      </c>
      <c r="H75" s="3">
        <v>18309</v>
      </c>
      <c r="I75" s="2"/>
      <c r="J75" s="2" t="s">
        <v>156</v>
      </c>
      <c r="K75" s="2" t="s">
        <v>61</v>
      </c>
      <c r="L75" s="2"/>
      <c r="M75" s="2"/>
      <c r="N75" s="2"/>
      <c r="O75" s="2"/>
      <c r="P75" s="2"/>
      <c r="Q75" s="2">
        <v>35</v>
      </c>
      <c r="R75" s="2">
        <v>0</v>
      </c>
      <c r="S75" s="2" t="s">
        <v>76</v>
      </c>
      <c r="T75" s="2" t="s">
        <v>54</v>
      </c>
      <c r="U75" s="2" t="s">
        <v>54</v>
      </c>
      <c r="V75" s="2" t="s">
        <v>78</v>
      </c>
      <c r="W75" s="2" t="s">
        <v>52</v>
      </c>
      <c r="X75" s="2" t="b">
        <v>0</v>
      </c>
      <c r="Y75" s="2" t="s">
        <v>64</v>
      </c>
      <c r="Z75" s="2" t="s">
        <v>64</v>
      </c>
      <c r="AA75" s="2" t="s">
        <v>147</v>
      </c>
      <c r="AB75" s="2" t="s">
        <v>45</v>
      </c>
      <c r="AC75" s="2" t="s">
        <v>80</v>
      </c>
      <c r="AD75" s="2" t="s">
        <v>81</v>
      </c>
      <c r="AE75" s="2" t="s">
        <v>54</v>
      </c>
      <c r="AF75" s="2" t="s">
        <v>54</v>
      </c>
      <c r="AG75" s="2"/>
      <c r="AH75" s="2" t="s">
        <v>54</v>
      </c>
      <c r="AI75" s="2" t="s">
        <v>54</v>
      </c>
      <c r="AJ75" s="2"/>
      <c r="AK75" s="2">
        <v>4</v>
      </c>
      <c r="AL75" s="2" t="s">
        <v>131</v>
      </c>
      <c r="AM75" s="2" t="s">
        <v>57</v>
      </c>
      <c r="AN75" s="2" t="s">
        <v>54</v>
      </c>
      <c r="AO75" s="2">
        <v>0</v>
      </c>
      <c r="AP75" s="2" t="s">
        <v>54</v>
      </c>
      <c r="AQ75" s="2" t="s">
        <v>58</v>
      </c>
    </row>
    <row r="76" spans="1:43" x14ac:dyDescent="0.2">
      <c r="A76" s="2">
        <v>146</v>
      </c>
      <c r="B76" s="2" t="s">
        <v>43</v>
      </c>
      <c r="C76" s="2" t="s">
        <v>44</v>
      </c>
      <c r="D76" s="2" t="s">
        <v>45</v>
      </c>
      <c r="E76" s="2"/>
      <c r="F76" s="2">
        <v>41135831</v>
      </c>
      <c r="G76" s="2" t="s">
        <v>59</v>
      </c>
      <c r="H76" s="3">
        <v>15479</v>
      </c>
      <c r="I76" s="2"/>
      <c r="J76" s="2" t="s">
        <v>157</v>
      </c>
      <c r="K76" s="2" t="s">
        <v>61</v>
      </c>
      <c r="L76" s="2"/>
      <c r="M76" s="2"/>
      <c r="N76" s="2"/>
      <c r="O76" s="2"/>
      <c r="P76" s="2"/>
      <c r="Q76" s="2">
        <v>50</v>
      </c>
      <c r="R76" s="2">
        <v>30</v>
      </c>
      <c r="S76" s="2" t="s">
        <v>50</v>
      </c>
      <c r="T76" s="2"/>
      <c r="U76" s="2"/>
      <c r="V76" s="2" t="s">
        <v>70</v>
      </c>
      <c r="W76" s="2" t="s">
        <v>52</v>
      </c>
      <c r="X76" s="2" t="b">
        <v>0</v>
      </c>
      <c r="Y76" s="2" t="s">
        <v>53</v>
      </c>
      <c r="Z76" s="2" t="s">
        <v>53</v>
      </c>
      <c r="AA76" s="2"/>
      <c r="AB76" s="2" t="s">
        <v>45</v>
      </c>
      <c r="AC76" s="2" t="s">
        <v>65</v>
      </c>
      <c r="AD76" s="2" t="s">
        <v>66</v>
      </c>
      <c r="AE76" s="2" t="s">
        <v>54</v>
      </c>
      <c r="AF76" s="2" t="s">
        <v>54</v>
      </c>
      <c r="AG76" s="2"/>
      <c r="AH76" s="2" t="s">
        <v>54</v>
      </c>
      <c r="AI76" s="2" t="s">
        <v>55</v>
      </c>
      <c r="AJ76" s="2"/>
      <c r="AK76" s="2">
        <v>4</v>
      </c>
      <c r="AL76" s="2" t="s">
        <v>204</v>
      </c>
      <c r="AM76" s="2" t="s">
        <v>57</v>
      </c>
      <c r="AN76" s="2" t="s">
        <v>54</v>
      </c>
      <c r="AO76" s="2">
        <v>0</v>
      </c>
      <c r="AP76" s="2" t="s">
        <v>55</v>
      </c>
      <c r="AQ76" s="2" t="s">
        <v>58</v>
      </c>
    </row>
    <row r="77" spans="1:43" x14ac:dyDescent="0.2">
      <c r="A77" s="2">
        <v>145</v>
      </c>
      <c r="B77" s="2" t="s">
        <v>43</v>
      </c>
      <c r="C77" s="2" t="s">
        <v>44</v>
      </c>
      <c r="D77" s="2" t="s">
        <v>45</v>
      </c>
      <c r="E77" s="2"/>
      <c r="F77" s="2">
        <v>41384082</v>
      </c>
      <c r="G77" s="2" t="s">
        <v>59</v>
      </c>
      <c r="H77" s="3">
        <v>23127</v>
      </c>
      <c r="I77" s="2"/>
      <c r="J77" s="2" t="s">
        <v>158</v>
      </c>
      <c r="K77" s="2" t="s">
        <v>61</v>
      </c>
      <c r="L77" s="2"/>
      <c r="M77" s="2"/>
      <c r="N77" s="2"/>
      <c r="O77" s="2"/>
      <c r="P77" s="2"/>
      <c r="Q77" s="2">
        <v>55</v>
      </c>
      <c r="R77" s="2"/>
      <c r="S77" s="2" t="s">
        <v>159</v>
      </c>
      <c r="T77" s="2" t="s">
        <v>54</v>
      </c>
      <c r="U77" s="2" t="s">
        <v>54</v>
      </c>
      <c r="V77" s="2" t="s">
        <v>70</v>
      </c>
      <c r="W77" s="2" t="s">
        <v>160</v>
      </c>
      <c r="X77" s="2" t="b">
        <v>0</v>
      </c>
      <c r="Y77" s="2" t="s">
        <v>64</v>
      </c>
      <c r="Z77" s="2" t="s">
        <v>64</v>
      </c>
      <c r="AA77" s="2" t="s">
        <v>124</v>
      </c>
      <c r="AB77" s="2" t="s">
        <v>45</v>
      </c>
      <c r="AC77" s="2" t="s">
        <v>65</v>
      </c>
      <c r="AD77" s="2" t="s">
        <v>66</v>
      </c>
      <c r="AE77" s="2" t="s">
        <v>54</v>
      </c>
      <c r="AF77" s="2" t="s">
        <v>54</v>
      </c>
      <c r="AG77" s="2"/>
      <c r="AH77" s="2" t="s">
        <v>54</v>
      </c>
      <c r="AI77" s="2" t="s">
        <v>54</v>
      </c>
      <c r="AJ77" s="2">
        <v>3</v>
      </c>
      <c r="AK77" s="2">
        <v>10</v>
      </c>
      <c r="AL77" s="2" t="s">
        <v>139</v>
      </c>
      <c r="AM77" s="2" t="s">
        <v>126</v>
      </c>
      <c r="AN77" s="2" t="s">
        <v>54</v>
      </c>
      <c r="AO77" s="2">
        <v>0</v>
      </c>
      <c r="AP77" s="2" t="s">
        <v>54</v>
      </c>
      <c r="AQ77" s="2" t="s">
        <v>58</v>
      </c>
    </row>
    <row r="78" spans="1:43" x14ac:dyDescent="0.2">
      <c r="A78" s="2">
        <v>144</v>
      </c>
      <c r="B78" s="2" t="s">
        <v>43</v>
      </c>
      <c r="C78" s="2" t="s">
        <v>44</v>
      </c>
      <c r="D78" s="2" t="s">
        <v>45</v>
      </c>
      <c r="E78" s="2"/>
      <c r="F78" s="2">
        <v>41635426</v>
      </c>
      <c r="G78" s="2" t="s">
        <v>59</v>
      </c>
      <c r="H78" s="3">
        <v>19520</v>
      </c>
      <c r="I78" s="2"/>
      <c r="J78" s="2" t="s">
        <v>205</v>
      </c>
      <c r="K78" s="2" t="s">
        <v>49</v>
      </c>
      <c r="L78" s="2"/>
      <c r="M78" s="2"/>
      <c r="N78" s="2">
        <v>38</v>
      </c>
      <c r="O78" s="2">
        <v>21</v>
      </c>
      <c r="P78" s="2"/>
      <c r="Q78" s="2">
        <v>45</v>
      </c>
      <c r="R78" s="2">
        <v>45</v>
      </c>
      <c r="S78" s="2" t="s">
        <v>76</v>
      </c>
      <c r="T78" s="2" t="s">
        <v>54</v>
      </c>
      <c r="U78" s="2" t="s">
        <v>54</v>
      </c>
      <c r="V78" s="2" t="s">
        <v>70</v>
      </c>
      <c r="W78" s="2" t="s">
        <v>52</v>
      </c>
      <c r="X78" s="2" t="b">
        <v>0</v>
      </c>
      <c r="Y78" s="2" t="s">
        <v>64</v>
      </c>
      <c r="Z78" s="2" t="s">
        <v>53</v>
      </c>
      <c r="AA78" s="2" t="s">
        <v>124</v>
      </c>
      <c r="AB78" s="2" t="s">
        <v>45</v>
      </c>
      <c r="AC78" s="2" t="s">
        <v>80</v>
      </c>
      <c r="AD78" s="2" t="s">
        <v>66</v>
      </c>
      <c r="AE78" s="2" t="s">
        <v>54</v>
      </c>
      <c r="AF78" s="2" t="s">
        <v>54</v>
      </c>
      <c r="AG78" s="2"/>
      <c r="AH78" s="2" t="s">
        <v>54</v>
      </c>
      <c r="AI78" s="2" t="s">
        <v>54</v>
      </c>
      <c r="AJ78" s="2"/>
      <c r="AK78" s="2">
        <v>4</v>
      </c>
      <c r="AL78" s="2" t="s">
        <v>82</v>
      </c>
      <c r="AM78" s="2" t="s">
        <v>206</v>
      </c>
      <c r="AN78" s="2" t="s">
        <v>54</v>
      </c>
      <c r="AO78" s="2">
        <v>0</v>
      </c>
      <c r="AP78" s="2" t="s">
        <v>55</v>
      </c>
      <c r="AQ78" s="2" t="s">
        <v>58</v>
      </c>
    </row>
    <row r="79" spans="1:43" x14ac:dyDescent="0.2">
      <c r="A79" s="2">
        <v>143</v>
      </c>
      <c r="B79" s="2" t="s">
        <v>43</v>
      </c>
      <c r="C79" s="2" t="s">
        <v>44</v>
      </c>
      <c r="D79" s="2" t="s">
        <v>45</v>
      </c>
      <c r="E79" s="2"/>
      <c r="F79" s="2">
        <v>41798828</v>
      </c>
      <c r="G79" s="2" t="s">
        <v>46</v>
      </c>
      <c r="H79" s="3">
        <v>19482</v>
      </c>
      <c r="I79" s="2"/>
      <c r="J79" s="2" t="s">
        <v>207</v>
      </c>
      <c r="K79" s="2" t="s">
        <v>61</v>
      </c>
      <c r="L79" s="2"/>
      <c r="M79" s="2"/>
      <c r="N79" s="2"/>
      <c r="O79" s="2"/>
      <c r="P79" s="2"/>
      <c r="Q79" s="2">
        <v>36</v>
      </c>
      <c r="R79" s="2">
        <v>10</v>
      </c>
      <c r="S79" s="2" t="s">
        <v>62</v>
      </c>
      <c r="T79" s="2" t="s">
        <v>54</v>
      </c>
      <c r="U79" s="2" t="s">
        <v>54</v>
      </c>
      <c r="V79" s="2"/>
      <c r="W79" s="2" t="s">
        <v>52</v>
      </c>
      <c r="X79" s="2" t="b">
        <v>0</v>
      </c>
      <c r="Y79" s="2" t="s">
        <v>64</v>
      </c>
      <c r="Z79" s="2" t="s">
        <v>64</v>
      </c>
      <c r="AA79" s="2" t="s">
        <v>124</v>
      </c>
      <c r="AB79" s="2" t="s">
        <v>45</v>
      </c>
      <c r="AC79" s="2" t="s">
        <v>65</v>
      </c>
      <c r="AD79" s="2" t="s">
        <v>81</v>
      </c>
      <c r="AE79" s="2" t="s">
        <v>54</v>
      </c>
      <c r="AF79" s="2" t="s">
        <v>54</v>
      </c>
      <c r="AG79" s="2"/>
      <c r="AH79" s="2" t="s">
        <v>54</v>
      </c>
      <c r="AI79" s="2" t="s">
        <v>54</v>
      </c>
      <c r="AJ79" s="2"/>
      <c r="AK79" s="2">
        <v>4</v>
      </c>
      <c r="AL79" s="2" t="s">
        <v>82</v>
      </c>
      <c r="AM79" s="2" t="s">
        <v>72</v>
      </c>
      <c r="AN79" s="2" t="s">
        <v>54</v>
      </c>
      <c r="AO79" s="2">
        <v>0</v>
      </c>
      <c r="AP79" s="2" t="s">
        <v>54</v>
      </c>
      <c r="AQ79" s="2" t="s">
        <v>58</v>
      </c>
    </row>
    <row r="80" spans="1:43" x14ac:dyDescent="0.2">
      <c r="A80" s="2">
        <v>142</v>
      </c>
      <c r="B80" s="2" t="s">
        <v>43</v>
      </c>
      <c r="C80" s="2" t="s">
        <v>44</v>
      </c>
      <c r="D80" s="2" t="s">
        <v>45</v>
      </c>
      <c r="E80" s="2"/>
      <c r="F80" s="2">
        <v>41888207</v>
      </c>
      <c r="G80" s="2" t="s">
        <v>59</v>
      </c>
      <c r="H80" s="3">
        <v>24938</v>
      </c>
      <c r="I80" s="2"/>
      <c r="J80" s="2" t="s">
        <v>208</v>
      </c>
      <c r="K80" s="2" t="s">
        <v>61</v>
      </c>
      <c r="L80" s="2"/>
      <c r="M80" s="2"/>
      <c r="N80" s="2"/>
      <c r="O80" s="2"/>
      <c r="P80" s="2"/>
      <c r="Q80" s="2">
        <v>55</v>
      </c>
      <c r="R80" s="2">
        <v>35</v>
      </c>
      <c r="S80" s="2" t="s">
        <v>76</v>
      </c>
      <c r="T80" s="2"/>
      <c r="U80" s="2"/>
      <c r="V80" s="2" t="s">
        <v>51</v>
      </c>
      <c r="W80" s="2" t="s">
        <v>52</v>
      </c>
      <c r="X80" s="2" t="b">
        <v>0</v>
      </c>
      <c r="Y80" s="2" t="s">
        <v>53</v>
      </c>
      <c r="Z80" s="2" t="s">
        <v>64</v>
      </c>
      <c r="AA80" s="2"/>
      <c r="AB80" s="2" t="s">
        <v>45</v>
      </c>
      <c r="AC80" s="2" t="s">
        <v>65</v>
      </c>
      <c r="AD80" s="2" t="s">
        <v>66</v>
      </c>
      <c r="AE80" s="2"/>
      <c r="AF80" s="2"/>
      <c r="AG80" s="2"/>
      <c r="AH80" s="2" t="s">
        <v>55</v>
      </c>
      <c r="AI80" s="2" t="s">
        <v>55</v>
      </c>
      <c r="AJ80" s="2"/>
      <c r="AK80" s="2">
        <v>4</v>
      </c>
      <c r="AL80" s="2" t="s">
        <v>82</v>
      </c>
      <c r="AM80" s="2" t="s">
        <v>57</v>
      </c>
      <c r="AN80" s="2"/>
      <c r="AO80" s="2">
        <v>0</v>
      </c>
      <c r="AP80" s="2" t="s">
        <v>54</v>
      </c>
      <c r="AQ80" s="2" t="s">
        <v>58</v>
      </c>
    </row>
    <row r="81" spans="1:43" x14ac:dyDescent="0.2">
      <c r="A81" s="2">
        <v>141</v>
      </c>
      <c r="B81" s="2" t="s">
        <v>43</v>
      </c>
      <c r="C81" s="2" t="s">
        <v>44</v>
      </c>
      <c r="D81" s="2" t="s">
        <v>45</v>
      </c>
      <c r="E81" s="2"/>
      <c r="F81" s="2">
        <v>42021824</v>
      </c>
      <c r="G81" s="2" t="s">
        <v>46</v>
      </c>
      <c r="H81" s="3">
        <v>20061</v>
      </c>
      <c r="I81" s="2"/>
      <c r="J81" s="2" t="s">
        <v>209</v>
      </c>
      <c r="K81" s="2" t="s">
        <v>61</v>
      </c>
      <c r="L81" s="2"/>
      <c r="M81" s="2"/>
      <c r="N81" s="2"/>
      <c r="O81" s="2"/>
      <c r="P81" s="2"/>
      <c r="Q81" s="2">
        <v>46</v>
      </c>
      <c r="R81" s="2">
        <v>0</v>
      </c>
      <c r="S81" s="2" t="s">
        <v>76</v>
      </c>
      <c r="T81" s="2"/>
      <c r="U81" s="2"/>
      <c r="V81" s="2" t="s">
        <v>78</v>
      </c>
      <c r="W81" s="2" t="s">
        <v>87</v>
      </c>
      <c r="X81" s="2" t="b">
        <v>0</v>
      </c>
      <c r="Y81" s="2" t="s">
        <v>64</v>
      </c>
      <c r="Z81" s="2"/>
      <c r="AA81" s="2"/>
      <c r="AB81" s="2" t="s">
        <v>45</v>
      </c>
      <c r="AC81" s="2" t="s">
        <v>80</v>
      </c>
      <c r="AD81" s="2" t="s">
        <v>81</v>
      </c>
      <c r="AE81" s="2" t="s">
        <v>210</v>
      </c>
      <c r="AF81" s="2" t="s">
        <v>54</v>
      </c>
      <c r="AG81" s="2"/>
      <c r="AH81" s="2" t="s">
        <v>54</v>
      </c>
      <c r="AI81" s="2" t="s">
        <v>54</v>
      </c>
      <c r="AJ81" s="2"/>
      <c r="AK81" s="2">
        <v>3</v>
      </c>
      <c r="AL81" s="2" t="s">
        <v>82</v>
      </c>
      <c r="AM81" s="2" t="s">
        <v>57</v>
      </c>
      <c r="AN81" s="2"/>
      <c r="AO81" s="2">
        <v>0</v>
      </c>
      <c r="AP81" s="2" t="s">
        <v>54</v>
      </c>
      <c r="AQ81" s="2" t="s">
        <v>58</v>
      </c>
    </row>
    <row r="82" spans="1:43" x14ac:dyDescent="0.2">
      <c r="A82" s="2">
        <v>140</v>
      </c>
      <c r="B82" s="2" t="s">
        <v>43</v>
      </c>
      <c r="C82" s="2" t="s">
        <v>44</v>
      </c>
      <c r="D82" s="2" t="s">
        <v>45</v>
      </c>
      <c r="E82" s="2"/>
      <c r="F82" s="2">
        <v>42276196</v>
      </c>
      <c r="G82" s="2" t="s">
        <v>46</v>
      </c>
      <c r="H82" s="3">
        <v>21871</v>
      </c>
      <c r="I82" s="2"/>
      <c r="J82" s="2" t="s">
        <v>211</v>
      </c>
      <c r="K82" s="2" t="s">
        <v>61</v>
      </c>
      <c r="L82" s="2"/>
      <c r="M82" s="2"/>
      <c r="N82" s="2"/>
      <c r="O82" s="2"/>
      <c r="P82" s="2"/>
      <c r="Q82" s="2">
        <v>65</v>
      </c>
      <c r="R82" s="2">
        <v>25</v>
      </c>
      <c r="S82" s="2" t="s">
        <v>76</v>
      </c>
      <c r="T82" s="2"/>
      <c r="U82" s="2"/>
      <c r="V82" s="2" t="s">
        <v>70</v>
      </c>
      <c r="W82" s="2" t="s">
        <v>52</v>
      </c>
      <c r="X82" s="2" t="b">
        <v>0</v>
      </c>
      <c r="Y82" s="2" t="s">
        <v>53</v>
      </c>
      <c r="Z82" s="2" t="s">
        <v>64</v>
      </c>
      <c r="AA82" s="2"/>
      <c r="AB82" s="2" t="s">
        <v>45</v>
      </c>
      <c r="AC82" s="2" t="s">
        <v>80</v>
      </c>
      <c r="AD82" s="2" t="s">
        <v>66</v>
      </c>
      <c r="AE82" s="2" t="s">
        <v>54</v>
      </c>
      <c r="AF82" s="2" t="s">
        <v>54</v>
      </c>
      <c r="AG82" s="2"/>
      <c r="AH82" s="2" t="s">
        <v>54</v>
      </c>
      <c r="AI82" s="2" t="s">
        <v>55</v>
      </c>
      <c r="AJ82" s="2"/>
      <c r="AK82" s="2">
        <v>4</v>
      </c>
      <c r="AL82" s="2" t="s">
        <v>212</v>
      </c>
      <c r="AM82" s="2" t="s">
        <v>57</v>
      </c>
      <c r="AN82" s="2" t="s">
        <v>54</v>
      </c>
      <c r="AO82" s="2">
        <v>0</v>
      </c>
      <c r="AP82" s="2" t="s">
        <v>54</v>
      </c>
      <c r="AQ82" s="2" t="s">
        <v>58</v>
      </c>
    </row>
    <row r="83" spans="1:43" x14ac:dyDescent="0.2">
      <c r="A83" s="2">
        <v>139</v>
      </c>
      <c r="B83" s="2" t="s">
        <v>43</v>
      </c>
      <c r="C83" s="2" t="s">
        <v>44</v>
      </c>
      <c r="D83" s="2" t="s">
        <v>45</v>
      </c>
      <c r="E83" s="2"/>
      <c r="F83" s="2">
        <v>42971168</v>
      </c>
      <c r="G83" s="2" t="s">
        <v>46</v>
      </c>
      <c r="H83" s="3">
        <v>29886</v>
      </c>
      <c r="I83" s="2"/>
      <c r="J83" s="2" t="s">
        <v>213</v>
      </c>
      <c r="K83" s="2" t="s">
        <v>49</v>
      </c>
      <c r="L83" s="2"/>
      <c r="M83" s="2"/>
      <c r="N83" s="2"/>
      <c r="O83" s="2"/>
      <c r="P83" s="2"/>
      <c r="Q83" s="2">
        <v>55</v>
      </c>
      <c r="R83" s="2">
        <v>10</v>
      </c>
      <c r="S83" s="2" t="s">
        <v>76</v>
      </c>
      <c r="T83" s="2"/>
      <c r="U83" s="2"/>
      <c r="V83" s="2"/>
      <c r="W83" s="2" t="s">
        <v>52</v>
      </c>
      <c r="X83" s="2" t="b">
        <v>0</v>
      </c>
      <c r="Y83" s="2" t="s">
        <v>53</v>
      </c>
      <c r="Z83" s="2" t="s">
        <v>53</v>
      </c>
      <c r="AA83" s="2" t="s">
        <v>124</v>
      </c>
      <c r="AB83" s="2" t="s">
        <v>45</v>
      </c>
      <c r="AC83" s="2" t="s">
        <v>80</v>
      </c>
      <c r="AD83" s="2" t="s">
        <v>66</v>
      </c>
      <c r="AE83" s="2" t="s">
        <v>54</v>
      </c>
      <c r="AF83" s="2" t="s">
        <v>54</v>
      </c>
      <c r="AG83" s="2"/>
      <c r="AH83" s="2" t="s">
        <v>54</v>
      </c>
      <c r="AI83" s="2" t="s">
        <v>55</v>
      </c>
      <c r="AJ83" s="2"/>
      <c r="AK83" s="2">
        <v>4</v>
      </c>
      <c r="AL83" s="2" t="s">
        <v>68</v>
      </c>
      <c r="AM83" s="2" t="s">
        <v>126</v>
      </c>
      <c r="AN83" s="2"/>
      <c r="AO83" s="2">
        <v>0</v>
      </c>
      <c r="AP83" s="2" t="s">
        <v>88</v>
      </c>
      <c r="AQ83" s="2" t="s">
        <v>58</v>
      </c>
    </row>
    <row r="84" spans="1:43" x14ac:dyDescent="0.2">
      <c r="A84" s="2">
        <v>138</v>
      </c>
      <c r="B84" s="2" t="s">
        <v>43</v>
      </c>
      <c r="C84" s="2" t="s">
        <v>44</v>
      </c>
      <c r="D84" s="2" t="s">
        <v>45</v>
      </c>
      <c r="E84" s="2"/>
      <c r="F84" s="2">
        <v>43146554</v>
      </c>
      <c r="G84" s="2" t="s">
        <v>59</v>
      </c>
      <c r="H84" s="3">
        <v>14767</v>
      </c>
      <c r="I84" s="2"/>
      <c r="J84" s="2" t="s">
        <v>214</v>
      </c>
      <c r="K84" s="2" t="s">
        <v>49</v>
      </c>
      <c r="L84" s="2"/>
      <c r="M84" s="2"/>
      <c r="N84" s="2"/>
      <c r="O84" s="2"/>
      <c r="P84" s="2"/>
      <c r="Q84" s="2">
        <v>44</v>
      </c>
      <c r="R84" s="2">
        <v>60</v>
      </c>
      <c r="S84" s="2" t="s">
        <v>50</v>
      </c>
      <c r="T84" s="2"/>
      <c r="U84" s="2"/>
      <c r="V84" s="2" t="s">
        <v>78</v>
      </c>
      <c r="W84" s="2" t="s">
        <v>87</v>
      </c>
      <c r="X84" s="2" t="b">
        <v>0</v>
      </c>
      <c r="Y84" s="2" t="s">
        <v>64</v>
      </c>
      <c r="Z84" s="2" t="s">
        <v>64</v>
      </c>
      <c r="AA84" s="2"/>
      <c r="AB84" s="2" t="s">
        <v>45</v>
      </c>
      <c r="AC84" s="2" t="s">
        <v>65</v>
      </c>
      <c r="AD84" s="2" t="s">
        <v>81</v>
      </c>
      <c r="AE84" s="2" t="s">
        <v>54</v>
      </c>
      <c r="AF84" s="2"/>
      <c r="AG84" s="2"/>
      <c r="AH84" s="2" t="s">
        <v>54</v>
      </c>
      <c r="AI84" s="2" t="s">
        <v>54</v>
      </c>
      <c r="AJ84" s="2"/>
      <c r="AK84" s="2">
        <v>3</v>
      </c>
      <c r="AL84" s="2" t="s">
        <v>82</v>
      </c>
      <c r="AM84" s="2" t="s">
        <v>57</v>
      </c>
      <c r="AN84" s="2" t="s">
        <v>54</v>
      </c>
      <c r="AO84" s="2">
        <v>0</v>
      </c>
      <c r="AP84" s="2" t="s">
        <v>54</v>
      </c>
      <c r="AQ84" s="2" t="s">
        <v>58</v>
      </c>
    </row>
    <row r="85" spans="1:43" x14ac:dyDescent="0.2">
      <c r="A85" s="2">
        <v>137</v>
      </c>
      <c r="B85" s="2" t="s">
        <v>43</v>
      </c>
      <c r="C85" s="2" t="s">
        <v>44</v>
      </c>
      <c r="D85" s="2" t="s">
        <v>45</v>
      </c>
      <c r="E85" s="2"/>
      <c r="F85" s="2">
        <v>43253905</v>
      </c>
      <c r="G85" s="2" t="s">
        <v>46</v>
      </c>
      <c r="H85" s="3">
        <v>22626</v>
      </c>
      <c r="I85" s="2"/>
      <c r="J85" s="2" t="s">
        <v>215</v>
      </c>
      <c r="K85" s="2" t="s">
        <v>61</v>
      </c>
      <c r="L85" s="2"/>
      <c r="M85" s="2"/>
      <c r="N85" s="2"/>
      <c r="O85" s="2"/>
      <c r="P85" s="2"/>
      <c r="Q85" s="2">
        <v>70</v>
      </c>
      <c r="R85" s="2"/>
      <c r="S85" s="2" t="s">
        <v>159</v>
      </c>
      <c r="T85" s="2"/>
      <c r="U85" s="2"/>
      <c r="V85" s="2" t="s">
        <v>51</v>
      </c>
      <c r="W85" s="2" t="s">
        <v>87</v>
      </c>
      <c r="X85" s="2" t="b">
        <v>0</v>
      </c>
      <c r="Y85" s="2" t="s">
        <v>53</v>
      </c>
      <c r="Z85" s="2" t="s">
        <v>64</v>
      </c>
      <c r="AA85" s="2" t="s">
        <v>124</v>
      </c>
      <c r="AB85" s="2" t="s">
        <v>45</v>
      </c>
      <c r="AC85" s="2" t="s">
        <v>65</v>
      </c>
      <c r="AD85" s="2" t="s">
        <v>66</v>
      </c>
      <c r="AE85" s="2" t="s">
        <v>54</v>
      </c>
      <c r="AF85" s="2"/>
      <c r="AG85" s="2"/>
      <c r="AH85" s="2" t="s">
        <v>55</v>
      </c>
      <c r="AI85" s="2" t="s">
        <v>55</v>
      </c>
      <c r="AJ85" s="2"/>
      <c r="AK85" s="2">
        <v>3</v>
      </c>
      <c r="AL85" s="2" t="s">
        <v>74</v>
      </c>
      <c r="AM85" s="2" t="s">
        <v>216</v>
      </c>
      <c r="AN85" s="2" t="s">
        <v>54</v>
      </c>
      <c r="AO85" s="2">
        <v>0</v>
      </c>
      <c r="AP85" s="2" t="s">
        <v>54</v>
      </c>
      <c r="AQ85" s="2" t="s">
        <v>58</v>
      </c>
    </row>
    <row r="86" spans="1:43" x14ac:dyDescent="0.2">
      <c r="A86" s="2">
        <v>136</v>
      </c>
      <c r="B86" s="2" t="s">
        <v>43</v>
      </c>
      <c r="C86" s="2" t="s">
        <v>145</v>
      </c>
      <c r="D86" s="2" t="s">
        <v>45</v>
      </c>
      <c r="E86" s="2"/>
      <c r="F86" s="2">
        <v>43419019</v>
      </c>
      <c r="G86" s="2" t="s">
        <v>46</v>
      </c>
      <c r="H86" s="3">
        <v>17485</v>
      </c>
      <c r="I86" s="2"/>
      <c r="J86" s="2" t="s">
        <v>217</v>
      </c>
      <c r="K86" s="2" t="s">
        <v>61</v>
      </c>
      <c r="L86" s="2"/>
      <c r="M86" s="2"/>
      <c r="N86" s="2"/>
      <c r="O86" s="2"/>
      <c r="P86" s="2"/>
      <c r="Q86" s="2">
        <v>74</v>
      </c>
      <c r="R86" s="2">
        <v>20</v>
      </c>
      <c r="S86" s="2" t="s">
        <v>76</v>
      </c>
      <c r="T86" s="2"/>
      <c r="U86" s="2"/>
      <c r="V86" s="2" t="s">
        <v>70</v>
      </c>
      <c r="W86" s="2" t="s">
        <v>52</v>
      </c>
      <c r="X86" s="2" t="b">
        <v>1</v>
      </c>
      <c r="Y86" s="2" t="s">
        <v>53</v>
      </c>
      <c r="Z86" s="2" t="s">
        <v>53</v>
      </c>
      <c r="AA86" s="2"/>
      <c r="AB86" s="2" t="s">
        <v>45</v>
      </c>
      <c r="AC86" s="2" t="s">
        <v>80</v>
      </c>
      <c r="AD86" s="2" t="s">
        <v>66</v>
      </c>
      <c r="AE86" s="2" t="s">
        <v>54</v>
      </c>
      <c r="AF86" s="2"/>
      <c r="AG86" s="2"/>
      <c r="AH86" s="2" t="s">
        <v>54</v>
      </c>
      <c r="AI86" s="2" t="s">
        <v>55</v>
      </c>
      <c r="AJ86" s="2">
        <v>12</v>
      </c>
      <c r="AK86" s="2">
        <v>4</v>
      </c>
      <c r="AL86" s="2" t="s">
        <v>71</v>
      </c>
      <c r="AM86" s="2" t="s">
        <v>57</v>
      </c>
      <c r="AN86" s="2" t="s">
        <v>55</v>
      </c>
      <c r="AO86" s="2">
        <v>0</v>
      </c>
      <c r="AP86" s="2" t="s">
        <v>55</v>
      </c>
      <c r="AQ86" s="2" t="s">
        <v>58</v>
      </c>
    </row>
    <row r="87" spans="1:43" x14ac:dyDescent="0.2">
      <c r="A87" s="2">
        <v>135</v>
      </c>
      <c r="B87" s="2" t="s">
        <v>43</v>
      </c>
      <c r="C87" s="2" t="s">
        <v>44</v>
      </c>
      <c r="D87" s="2" t="s">
        <v>45</v>
      </c>
      <c r="E87" s="2"/>
      <c r="F87" s="2">
        <v>43485218</v>
      </c>
      <c r="G87" s="2" t="s">
        <v>59</v>
      </c>
      <c r="H87" s="3">
        <v>19145</v>
      </c>
      <c r="I87" s="2"/>
      <c r="J87" s="2" t="s">
        <v>218</v>
      </c>
      <c r="K87" s="2" t="s">
        <v>61</v>
      </c>
      <c r="L87" s="2"/>
      <c r="M87" s="2"/>
      <c r="N87" s="2"/>
      <c r="O87" s="2"/>
      <c r="P87" s="2"/>
      <c r="Q87" s="2">
        <v>120</v>
      </c>
      <c r="R87" s="2"/>
      <c r="S87" s="2" t="s">
        <v>50</v>
      </c>
      <c r="T87" s="2"/>
      <c r="U87" s="2"/>
      <c r="V87" s="2" t="s">
        <v>63</v>
      </c>
      <c r="W87" s="2" t="s">
        <v>87</v>
      </c>
      <c r="X87" s="2" t="b">
        <v>0</v>
      </c>
      <c r="Y87" s="2" t="s">
        <v>53</v>
      </c>
      <c r="Z87" s="2" t="s">
        <v>53</v>
      </c>
      <c r="AA87" s="2"/>
      <c r="AB87" s="2" t="s">
        <v>45</v>
      </c>
      <c r="AC87" s="2" t="s">
        <v>65</v>
      </c>
      <c r="AD87" s="2" t="s">
        <v>66</v>
      </c>
      <c r="AE87" s="2" t="s">
        <v>54</v>
      </c>
      <c r="AF87" s="2" t="s">
        <v>55</v>
      </c>
      <c r="AG87" s="2" t="s">
        <v>219</v>
      </c>
      <c r="AH87" s="2" t="s">
        <v>54</v>
      </c>
      <c r="AI87" s="2" t="s">
        <v>55</v>
      </c>
      <c r="AJ87" s="2"/>
      <c r="AK87" s="2">
        <v>3</v>
      </c>
      <c r="AL87" s="2" t="s">
        <v>74</v>
      </c>
      <c r="AM87" s="2" t="s">
        <v>57</v>
      </c>
      <c r="AN87" s="2"/>
      <c r="AO87" s="2">
        <v>0</v>
      </c>
      <c r="AP87" s="2" t="s">
        <v>88</v>
      </c>
      <c r="AQ87" s="2" t="s">
        <v>58</v>
      </c>
    </row>
    <row r="88" spans="1:43" x14ac:dyDescent="0.2">
      <c r="A88" s="2">
        <v>134</v>
      </c>
      <c r="B88" s="2" t="s">
        <v>43</v>
      </c>
      <c r="C88" s="2" t="s">
        <v>44</v>
      </c>
      <c r="D88" s="2" t="s">
        <v>45</v>
      </c>
      <c r="E88" s="2"/>
      <c r="F88" s="2">
        <v>43590835</v>
      </c>
      <c r="G88" s="2" t="s">
        <v>46</v>
      </c>
      <c r="H88" s="3">
        <v>17879</v>
      </c>
      <c r="I88" s="2"/>
      <c r="J88" s="2" t="s">
        <v>220</v>
      </c>
      <c r="K88" s="2" t="s">
        <v>61</v>
      </c>
      <c r="L88" s="2">
        <v>9</v>
      </c>
      <c r="M88" s="2">
        <v>3</v>
      </c>
      <c r="N88" s="2"/>
      <c r="O88" s="2"/>
      <c r="P88" s="2"/>
      <c r="Q88" s="2">
        <v>90</v>
      </c>
      <c r="R88" s="2">
        <v>17</v>
      </c>
      <c r="S88" s="2" t="s">
        <v>76</v>
      </c>
      <c r="T88" s="2"/>
      <c r="U88" s="2"/>
      <c r="V88" s="2" t="s">
        <v>63</v>
      </c>
      <c r="W88" s="2" t="s">
        <v>52</v>
      </c>
      <c r="X88" s="2" t="b">
        <v>0</v>
      </c>
      <c r="Y88" s="2" t="s">
        <v>53</v>
      </c>
      <c r="Z88" s="2" t="s">
        <v>64</v>
      </c>
      <c r="AA88" s="2"/>
      <c r="AB88" s="2" t="s">
        <v>45</v>
      </c>
      <c r="AC88" s="2" t="s">
        <v>65</v>
      </c>
      <c r="AD88" s="2" t="s">
        <v>66</v>
      </c>
      <c r="AE88" s="2" t="s">
        <v>54</v>
      </c>
      <c r="AF88" s="2" t="s">
        <v>55</v>
      </c>
      <c r="AG88" s="2" t="s">
        <v>180</v>
      </c>
      <c r="AH88" s="2" t="s">
        <v>54</v>
      </c>
      <c r="AI88" s="2" t="s">
        <v>55</v>
      </c>
      <c r="AJ88" s="2"/>
      <c r="AK88" s="2">
        <v>4</v>
      </c>
      <c r="AL88" s="2" t="s">
        <v>82</v>
      </c>
      <c r="AM88" s="2" t="s">
        <v>57</v>
      </c>
      <c r="AN88" s="2"/>
      <c r="AO88" s="2">
        <v>0</v>
      </c>
      <c r="AP88" s="2" t="s">
        <v>54</v>
      </c>
      <c r="AQ88" s="2" t="s">
        <v>58</v>
      </c>
    </row>
    <row r="89" spans="1:43" x14ac:dyDescent="0.2">
      <c r="A89" s="2">
        <v>133</v>
      </c>
      <c r="B89" s="2" t="s">
        <v>43</v>
      </c>
      <c r="C89" s="2" t="s">
        <v>44</v>
      </c>
      <c r="D89" s="2" t="s">
        <v>45</v>
      </c>
      <c r="E89" s="2"/>
      <c r="F89" s="2">
        <v>43671759</v>
      </c>
      <c r="G89" s="2" t="s">
        <v>59</v>
      </c>
      <c r="H89" s="3">
        <v>13403</v>
      </c>
      <c r="I89" s="2"/>
      <c r="J89" s="2" t="s">
        <v>221</v>
      </c>
      <c r="K89" s="2" t="s">
        <v>61</v>
      </c>
      <c r="L89" s="2"/>
      <c r="M89" s="2"/>
      <c r="N89" s="2"/>
      <c r="O89" s="2"/>
      <c r="P89" s="2">
        <v>10</v>
      </c>
      <c r="Q89" s="2">
        <v>44</v>
      </c>
      <c r="R89" s="2">
        <v>20</v>
      </c>
      <c r="S89" s="2" t="s">
        <v>76</v>
      </c>
      <c r="T89" s="2" t="s">
        <v>54</v>
      </c>
      <c r="U89" s="2" t="s">
        <v>54</v>
      </c>
      <c r="V89" s="2" t="s">
        <v>78</v>
      </c>
      <c r="W89" s="2" t="s">
        <v>79</v>
      </c>
      <c r="X89" s="2" t="b">
        <v>0</v>
      </c>
      <c r="Y89" s="2" t="s">
        <v>64</v>
      </c>
      <c r="Z89" s="2"/>
      <c r="AA89" s="2" t="s">
        <v>147</v>
      </c>
      <c r="AB89" s="2" t="s">
        <v>45</v>
      </c>
      <c r="AC89" s="2" t="s">
        <v>80</v>
      </c>
      <c r="AD89" s="2" t="s">
        <v>81</v>
      </c>
      <c r="AE89" s="2" t="s">
        <v>54</v>
      </c>
      <c r="AF89" s="2" t="s">
        <v>54</v>
      </c>
      <c r="AG89" s="2"/>
      <c r="AH89" s="2" t="s">
        <v>54</v>
      </c>
      <c r="AI89" s="2" t="s">
        <v>54</v>
      </c>
      <c r="AJ89" s="2"/>
      <c r="AK89" s="2">
        <v>0</v>
      </c>
      <c r="AL89" s="2" t="s">
        <v>57</v>
      </c>
      <c r="AM89" s="2" t="s">
        <v>57</v>
      </c>
      <c r="AN89" s="2"/>
      <c r="AO89" s="2">
        <v>0</v>
      </c>
      <c r="AP89" s="2" t="s">
        <v>54</v>
      </c>
      <c r="AQ89" s="2" t="s">
        <v>58</v>
      </c>
    </row>
    <row r="90" spans="1:43" x14ac:dyDescent="0.2">
      <c r="A90" s="2">
        <v>132</v>
      </c>
      <c r="B90" s="2" t="s">
        <v>43</v>
      </c>
      <c r="C90" s="2" t="s">
        <v>44</v>
      </c>
      <c r="D90" s="2" t="s">
        <v>45</v>
      </c>
      <c r="E90" s="2"/>
      <c r="F90" s="2">
        <v>43780840</v>
      </c>
      <c r="G90" s="2" t="s">
        <v>46</v>
      </c>
      <c r="H90" s="3">
        <v>21299</v>
      </c>
      <c r="I90" s="2"/>
      <c r="J90" s="2" t="s">
        <v>222</v>
      </c>
      <c r="K90" s="2" t="s">
        <v>61</v>
      </c>
      <c r="L90" s="2"/>
      <c r="M90" s="2"/>
      <c r="N90" s="2"/>
      <c r="O90" s="2"/>
      <c r="P90" s="2"/>
      <c r="Q90" s="2">
        <v>49</v>
      </c>
      <c r="R90" s="2"/>
      <c r="S90" s="2" t="s">
        <v>50</v>
      </c>
      <c r="T90" s="2" t="s">
        <v>54</v>
      </c>
      <c r="U90" s="2" t="s">
        <v>54</v>
      </c>
      <c r="V90" s="2"/>
      <c r="W90" s="2" t="s">
        <v>85</v>
      </c>
      <c r="X90" s="2" t="b">
        <v>0</v>
      </c>
      <c r="Y90" s="2" t="s">
        <v>64</v>
      </c>
      <c r="Z90" s="2" t="s">
        <v>64</v>
      </c>
      <c r="AA90" s="2"/>
      <c r="AB90" s="2" t="s">
        <v>45</v>
      </c>
      <c r="AC90" s="2" t="s">
        <v>65</v>
      </c>
      <c r="AD90" s="2" t="s">
        <v>81</v>
      </c>
      <c r="AE90" s="2" t="s">
        <v>54</v>
      </c>
      <c r="AF90" s="2" t="s">
        <v>54</v>
      </c>
      <c r="AG90" s="2"/>
      <c r="AH90" s="2" t="s">
        <v>54</v>
      </c>
      <c r="AI90" s="2" t="s">
        <v>54</v>
      </c>
      <c r="AJ90" s="2"/>
      <c r="AK90" s="2">
        <v>0</v>
      </c>
      <c r="AL90" s="2" t="s">
        <v>74</v>
      </c>
      <c r="AM90" s="2" t="s">
        <v>57</v>
      </c>
      <c r="AN90" s="2" t="s">
        <v>54</v>
      </c>
      <c r="AO90" s="2">
        <v>-1</v>
      </c>
      <c r="AP90" s="2" t="s">
        <v>54</v>
      </c>
      <c r="AQ90" s="2" t="s">
        <v>58</v>
      </c>
    </row>
    <row r="91" spans="1:43" x14ac:dyDescent="0.2">
      <c r="A91" s="2">
        <v>131</v>
      </c>
      <c r="B91" s="2" t="s">
        <v>43</v>
      </c>
      <c r="C91" s="2" t="s">
        <v>145</v>
      </c>
      <c r="D91" s="2" t="s">
        <v>45</v>
      </c>
      <c r="E91" s="2"/>
      <c r="F91" s="2">
        <v>43923242</v>
      </c>
      <c r="G91" s="2" t="s">
        <v>59</v>
      </c>
      <c r="H91" s="3">
        <v>21290</v>
      </c>
      <c r="I91" s="2"/>
      <c r="J91" s="2" t="s">
        <v>223</v>
      </c>
      <c r="K91" s="2" t="s">
        <v>49</v>
      </c>
      <c r="L91" s="2">
        <v>11</v>
      </c>
      <c r="M91" s="2">
        <v>5</v>
      </c>
      <c r="N91" s="2"/>
      <c r="O91" s="2"/>
      <c r="P91" s="2"/>
      <c r="Q91" s="2">
        <v>50</v>
      </c>
      <c r="R91" s="2">
        <v>50</v>
      </c>
      <c r="S91" s="2" t="s">
        <v>50</v>
      </c>
      <c r="T91" s="2"/>
      <c r="U91" s="2"/>
      <c r="V91" s="2" t="s">
        <v>63</v>
      </c>
      <c r="W91" s="2" t="s">
        <v>79</v>
      </c>
      <c r="X91" s="2" t="b">
        <v>1</v>
      </c>
      <c r="Y91" s="2" t="s">
        <v>53</v>
      </c>
      <c r="Z91" s="2" t="s">
        <v>64</v>
      </c>
      <c r="AA91" s="2" t="s">
        <v>124</v>
      </c>
      <c r="AB91" s="2" t="s">
        <v>45</v>
      </c>
      <c r="AC91" s="2" t="s">
        <v>65</v>
      </c>
      <c r="AD91" s="2" t="s">
        <v>66</v>
      </c>
      <c r="AE91" s="2"/>
      <c r="AF91" s="2" t="s">
        <v>55</v>
      </c>
      <c r="AG91" s="2" t="s">
        <v>144</v>
      </c>
      <c r="AH91" s="2" t="s">
        <v>54</v>
      </c>
      <c r="AI91" s="2" t="s">
        <v>55</v>
      </c>
      <c r="AJ91" s="2">
        <v>12</v>
      </c>
      <c r="AK91" s="2">
        <v>0</v>
      </c>
      <c r="AL91" s="2" t="s">
        <v>82</v>
      </c>
      <c r="AM91" s="2" t="s">
        <v>126</v>
      </c>
      <c r="AN91" s="2" t="s">
        <v>55</v>
      </c>
      <c r="AO91" s="2">
        <v>0</v>
      </c>
      <c r="AP91" s="2" t="s">
        <v>54</v>
      </c>
      <c r="AQ91" s="2" t="s">
        <v>58</v>
      </c>
    </row>
    <row r="92" spans="1:43" x14ac:dyDescent="0.2">
      <c r="A92" s="2">
        <v>130</v>
      </c>
      <c r="B92" s="2" t="s">
        <v>43</v>
      </c>
      <c r="C92" s="2" t="s">
        <v>44</v>
      </c>
      <c r="D92" s="2" t="s">
        <v>45</v>
      </c>
      <c r="E92" s="2"/>
      <c r="F92" s="2">
        <v>44073807</v>
      </c>
      <c r="G92" s="2" t="s">
        <v>59</v>
      </c>
      <c r="H92" s="3">
        <v>25526</v>
      </c>
      <c r="I92" s="2"/>
      <c r="J92" s="2" t="s">
        <v>224</v>
      </c>
      <c r="K92" s="2" t="s">
        <v>61</v>
      </c>
      <c r="L92" s="2"/>
      <c r="M92" s="2"/>
      <c r="N92" s="2"/>
      <c r="O92" s="2"/>
      <c r="P92" s="2">
        <v>12</v>
      </c>
      <c r="Q92" s="2">
        <v>60</v>
      </c>
      <c r="R92" s="2">
        <v>90</v>
      </c>
      <c r="S92" s="2" t="s">
        <v>62</v>
      </c>
      <c r="T92" s="2" t="s">
        <v>54</v>
      </c>
      <c r="U92" s="2" t="s">
        <v>54</v>
      </c>
      <c r="V92" s="2" t="s">
        <v>63</v>
      </c>
      <c r="W92" s="2" t="s">
        <v>79</v>
      </c>
      <c r="X92" s="2" t="b">
        <v>0</v>
      </c>
      <c r="Y92" s="2" t="s">
        <v>53</v>
      </c>
      <c r="Z92" s="2" t="s">
        <v>64</v>
      </c>
      <c r="AA92" s="2" t="s">
        <v>124</v>
      </c>
      <c r="AB92" s="2" t="s">
        <v>45</v>
      </c>
      <c r="AC92" s="2" t="s">
        <v>65</v>
      </c>
      <c r="AD92" s="2" t="s">
        <v>66</v>
      </c>
      <c r="AE92" s="2" t="s">
        <v>54</v>
      </c>
      <c r="AF92" s="2" t="s">
        <v>55</v>
      </c>
      <c r="AG92" s="2" t="s">
        <v>198</v>
      </c>
      <c r="AH92" s="2" t="s">
        <v>55</v>
      </c>
      <c r="AI92" s="2" t="s">
        <v>55</v>
      </c>
      <c r="AJ92" s="2"/>
      <c r="AK92" s="2">
        <v>0</v>
      </c>
      <c r="AL92" s="2" t="s">
        <v>74</v>
      </c>
      <c r="AM92" s="2" t="s">
        <v>225</v>
      </c>
      <c r="AN92" s="2" t="s">
        <v>54</v>
      </c>
      <c r="AO92" s="2">
        <v>0</v>
      </c>
      <c r="AP92" s="2" t="s">
        <v>54</v>
      </c>
      <c r="AQ92" s="2" t="s">
        <v>58</v>
      </c>
    </row>
    <row r="93" spans="1:43" x14ac:dyDescent="0.2">
      <c r="A93" s="2">
        <v>129</v>
      </c>
      <c r="B93" s="2" t="s">
        <v>43</v>
      </c>
      <c r="C93" s="2" t="s">
        <v>44</v>
      </c>
      <c r="D93" s="2" t="s">
        <v>45</v>
      </c>
      <c r="E93" s="2"/>
      <c r="F93" s="2">
        <v>44231785</v>
      </c>
      <c r="G93" s="2" t="s">
        <v>59</v>
      </c>
      <c r="H93" s="3">
        <v>20024</v>
      </c>
      <c r="I93" s="2"/>
      <c r="J93" s="2" t="s">
        <v>226</v>
      </c>
      <c r="K93" s="2" t="s">
        <v>61</v>
      </c>
      <c r="L93" s="2"/>
      <c r="M93" s="2"/>
      <c r="N93" s="2"/>
      <c r="O93" s="2"/>
      <c r="P93" s="2"/>
      <c r="Q93" s="2">
        <v>40</v>
      </c>
      <c r="R93" s="2">
        <v>40</v>
      </c>
      <c r="S93" s="2" t="s">
        <v>62</v>
      </c>
      <c r="T93" s="2"/>
      <c r="U93" s="2"/>
      <c r="V93" s="2" t="s">
        <v>51</v>
      </c>
      <c r="W93" s="2" t="s">
        <v>79</v>
      </c>
      <c r="X93" s="2" t="b">
        <v>0</v>
      </c>
      <c r="Y93" s="2" t="s">
        <v>64</v>
      </c>
      <c r="Z93" s="2" t="s">
        <v>64</v>
      </c>
      <c r="AA93" s="2"/>
      <c r="AB93" s="2" t="s">
        <v>45</v>
      </c>
      <c r="AC93" s="2"/>
      <c r="AD93" s="2" t="s">
        <v>66</v>
      </c>
      <c r="AE93" s="2"/>
      <c r="AF93" s="2"/>
      <c r="AG93" s="2"/>
      <c r="AH93" s="2" t="s">
        <v>55</v>
      </c>
      <c r="AI93" s="2" t="s">
        <v>54</v>
      </c>
      <c r="AJ93" s="2"/>
      <c r="AK93" s="2">
        <v>0</v>
      </c>
      <c r="AL93" s="2" t="s">
        <v>82</v>
      </c>
      <c r="AM93" s="2" t="s">
        <v>57</v>
      </c>
      <c r="AN93" s="2" t="s">
        <v>54</v>
      </c>
      <c r="AO93" s="2">
        <v>0</v>
      </c>
      <c r="AP93" s="2" t="s">
        <v>54</v>
      </c>
      <c r="AQ93" s="2" t="s">
        <v>58</v>
      </c>
    </row>
    <row r="94" spans="1:43" x14ac:dyDescent="0.2">
      <c r="A94" s="2">
        <v>128</v>
      </c>
      <c r="B94" s="2" t="s">
        <v>43</v>
      </c>
      <c r="C94" s="2" t="s">
        <v>44</v>
      </c>
      <c r="D94" s="2" t="s">
        <v>45</v>
      </c>
      <c r="E94" s="2"/>
      <c r="F94" s="2">
        <v>44794683</v>
      </c>
      <c r="G94" s="2" t="s">
        <v>46</v>
      </c>
      <c r="H94" s="3">
        <v>21173</v>
      </c>
      <c r="I94" s="2"/>
      <c r="J94" s="2" t="s">
        <v>227</v>
      </c>
      <c r="K94" s="2" t="s">
        <v>61</v>
      </c>
      <c r="L94" s="2"/>
      <c r="M94" s="2"/>
      <c r="N94" s="2"/>
      <c r="O94" s="2"/>
      <c r="P94" s="2"/>
      <c r="Q94" s="2"/>
      <c r="R94" s="2">
        <v>64</v>
      </c>
      <c r="S94" s="2" t="s">
        <v>50</v>
      </c>
      <c r="T94" s="2"/>
      <c r="U94" s="2"/>
      <c r="V94" s="2" t="s">
        <v>70</v>
      </c>
      <c r="W94" s="2" t="s">
        <v>85</v>
      </c>
      <c r="X94" s="2" t="b">
        <v>0</v>
      </c>
      <c r="Y94" s="2" t="s">
        <v>53</v>
      </c>
      <c r="Z94" s="2" t="s">
        <v>64</v>
      </c>
      <c r="AA94" s="2"/>
      <c r="AB94" s="2" t="s">
        <v>45</v>
      </c>
      <c r="AC94" s="2" t="s">
        <v>65</v>
      </c>
      <c r="AD94" s="2" t="s">
        <v>66</v>
      </c>
      <c r="AE94" s="2" t="s">
        <v>54</v>
      </c>
      <c r="AF94" s="2" t="s">
        <v>54</v>
      </c>
      <c r="AG94" s="2"/>
      <c r="AH94" s="2" t="s">
        <v>54</v>
      </c>
      <c r="AI94" s="2" t="s">
        <v>55</v>
      </c>
      <c r="AJ94" s="2">
        <v>10</v>
      </c>
      <c r="AK94" s="2">
        <v>0</v>
      </c>
      <c r="AL94" s="2" t="s">
        <v>82</v>
      </c>
      <c r="AM94" s="2" t="s">
        <v>57</v>
      </c>
      <c r="AN94" s="2" t="s">
        <v>54</v>
      </c>
      <c r="AO94" s="2">
        <v>0</v>
      </c>
      <c r="AP94" s="2" t="s">
        <v>54</v>
      </c>
      <c r="AQ94" s="2" t="s">
        <v>58</v>
      </c>
    </row>
    <row r="95" spans="1:43" x14ac:dyDescent="0.2">
      <c r="A95" s="2">
        <v>127</v>
      </c>
      <c r="B95" s="2" t="s">
        <v>43</v>
      </c>
      <c r="C95" s="2" t="s">
        <v>44</v>
      </c>
      <c r="D95" s="2" t="s">
        <v>45</v>
      </c>
      <c r="E95" s="2"/>
      <c r="F95" s="2">
        <v>44840130</v>
      </c>
      <c r="G95" s="2" t="s">
        <v>59</v>
      </c>
      <c r="H95" s="3">
        <v>28848</v>
      </c>
      <c r="I95" s="2"/>
      <c r="J95" s="2" t="s">
        <v>228</v>
      </c>
      <c r="K95" s="2" t="s">
        <v>61</v>
      </c>
      <c r="L95" s="2"/>
      <c r="M95" s="2"/>
      <c r="N95" s="2"/>
      <c r="O95" s="2"/>
      <c r="P95" s="2">
        <v>14</v>
      </c>
      <c r="Q95" s="2">
        <v>50</v>
      </c>
      <c r="R95" s="2">
        <v>66</v>
      </c>
      <c r="S95" s="2" t="s">
        <v>62</v>
      </c>
      <c r="T95" s="2"/>
      <c r="U95" s="2"/>
      <c r="V95" s="2" t="s">
        <v>78</v>
      </c>
      <c r="W95" s="2" t="s">
        <v>52</v>
      </c>
      <c r="X95" s="2" t="b">
        <v>0</v>
      </c>
      <c r="Y95" s="2" t="s">
        <v>64</v>
      </c>
      <c r="Z95" s="2"/>
      <c r="AA95" s="2"/>
      <c r="AB95" s="2" t="s">
        <v>45</v>
      </c>
      <c r="AC95" s="2" t="s">
        <v>65</v>
      </c>
      <c r="AD95" s="2" t="s">
        <v>81</v>
      </c>
      <c r="AE95" s="2"/>
      <c r="AF95" s="2"/>
      <c r="AG95" s="2"/>
      <c r="AH95" s="2" t="s">
        <v>54</v>
      </c>
      <c r="AI95" s="2" t="s">
        <v>54</v>
      </c>
      <c r="AJ95" s="2"/>
      <c r="AK95" s="2">
        <v>5</v>
      </c>
      <c r="AL95" s="2" t="s">
        <v>71</v>
      </c>
      <c r="AM95" s="2" t="s">
        <v>57</v>
      </c>
      <c r="AN95" s="2" t="s">
        <v>54</v>
      </c>
      <c r="AO95" s="2">
        <v>0</v>
      </c>
      <c r="AP95" s="2" t="s">
        <v>54</v>
      </c>
      <c r="AQ95" s="2" t="s">
        <v>58</v>
      </c>
    </row>
    <row r="96" spans="1:43" x14ac:dyDescent="0.2">
      <c r="A96" s="2">
        <v>126</v>
      </c>
      <c r="B96" s="2" t="s">
        <v>43</v>
      </c>
      <c r="C96" s="2" t="s">
        <v>44</v>
      </c>
      <c r="D96" s="2" t="s">
        <v>45</v>
      </c>
      <c r="E96" s="2"/>
      <c r="F96" s="2">
        <v>44959120</v>
      </c>
      <c r="G96" s="2" t="s">
        <v>59</v>
      </c>
      <c r="H96" s="3">
        <v>21853</v>
      </c>
      <c r="I96" s="2"/>
      <c r="J96" s="2" t="s">
        <v>229</v>
      </c>
      <c r="K96" s="2" t="s">
        <v>49</v>
      </c>
      <c r="L96" s="2"/>
      <c r="M96" s="2"/>
      <c r="N96" s="2"/>
      <c r="O96" s="2"/>
      <c r="P96" s="2">
        <v>22</v>
      </c>
      <c r="Q96" s="2">
        <v>54</v>
      </c>
      <c r="R96" s="2">
        <v>9</v>
      </c>
      <c r="S96" s="2" t="s">
        <v>159</v>
      </c>
      <c r="T96" s="2"/>
      <c r="U96" s="2"/>
      <c r="V96" s="2"/>
      <c r="W96" s="2" t="s">
        <v>79</v>
      </c>
      <c r="X96" s="2" t="b">
        <v>0</v>
      </c>
      <c r="Y96" s="2" t="s">
        <v>64</v>
      </c>
      <c r="Z96" s="2" t="s">
        <v>64</v>
      </c>
      <c r="AA96" s="2"/>
      <c r="AB96" s="2" t="s">
        <v>45</v>
      </c>
      <c r="AC96" s="2" t="s">
        <v>65</v>
      </c>
      <c r="AD96" s="2" t="s">
        <v>81</v>
      </c>
      <c r="AE96" s="2" t="s">
        <v>54</v>
      </c>
      <c r="AF96" s="2" t="s">
        <v>54</v>
      </c>
      <c r="AG96" s="2"/>
      <c r="AH96" s="2" t="s">
        <v>54</v>
      </c>
      <c r="AI96" s="2" t="s">
        <v>54</v>
      </c>
      <c r="AJ96" s="2"/>
      <c r="AK96" s="2">
        <v>0</v>
      </c>
      <c r="AL96" s="2" t="s">
        <v>82</v>
      </c>
      <c r="AM96" s="2" t="s">
        <v>57</v>
      </c>
      <c r="AN96" s="2" t="s">
        <v>54</v>
      </c>
      <c r="AO96" s="2">
        <v>0</v>
      </c>
      <c r="AP96" s="2" t="s">
        <v>54</v>
      </c>
      <c r="AQ96" s="2" t="s">
        <v>58</v>
      </c>
    </row>
    <row r="97" spans="1:43" x14ac:dyDescent="0.2">
      <c r="A97" s="2">
        <v>125</v>
      </c>
      <c r="B97" s="2" t="s">
        <v>43</v>
      </c>
      <c r="C97" s="2" t="s">
        <v>145</v>
      </c>
      <c r="D97" s="2" t="s">
        <v>230</v>
      </c>
      <c r="E97" s="2"/>
      <c r="F97" s="2">
        <v>45101755</v>
      </c>
      <c r="G97" s="2" t="s">
        <v>46</v>
      </c>
      <c r="H97" s="3">
        <v>27681</v>
      </c>
      <c r="I97" s="2"/>
      <c r="J97" s="2" t="s">
        <v>231</v>
      </c>
      <c r="K97" s="2" t="s">
        <v>61</v>
      </c>
      <c r="L97" s="2">
        <v>12</v>
      </c>
      <c r="M97" s="2">
        <v>12</v>
      </c>
      <c r="N97" s="2"/>
      <c r="O97" s="2"/>
      <c r="P97" s="2"/>
      <c r="Q97" s="2">
        <v>50</v>
      </c>
      <c r="R97" s="2"/>
      <c r="S97" s="2" t="s">
        <v>76</v>
      </c>
      <c r="T97" s="2" t="s">
        <v>54</v>
      </c>
      <c r="U97" s="2" t="s">
        <v>54</v>
      </c>
      <c r="V97" s="2" t="s">
        <v>78</v>
      </c>
      <c r="W97" s="2"/>
      <c r="X97" s="2" t="b">
        <v>1</v>
      </c>
      <c r="Y97" s="2" t="s">
        <v>64</v>
      </c>
      <c r="Z97" s="2" t="s">
        <v>53</v>
      </c>
      <c r="AA97" s="2" t="s">
        <v>124</v>
      </c>
      <c r="AB97" s="2" t="s">
        <v>45</v>
      </c>
      <c r="AC97" s="2" t="s">
        <v>65</v>
      </c>
      <c r="AD97" s="2" t="s">
        <v>81</v>
      </c>
      <c r="AE97" s="2" t="s">
        <v>54</v>
      </c>
      <c r="AF97" s="2" t="s">
        <v>54</v>
      </c>
      <c r="AG97" s="2"/>
      <c r="AH97" s="2" t="s">
        <v>54</v>
      </c>
      <c r="AI97" s="2" t="s">
        <v>54</v>
      </c>
      <c r="AJ97" s="2">
        <v>8</v>
      </c>
      <c r="AK97" s="2">
        <v>0</v>
      </c>
      <c r="AL97" s="2" t="s">
        <v>71</v>
      </c>
      <c r="AM97" s="2" t="s">
        <v>162</v>
      </c>
      <c r="AN97" s="2" t="s">
        <v>55</v>
      </c>
      <c r="AO97" s="2">
        <v>1</v>
      </c>
      <c r="AP97" s="2" t="s">
        <v>55</v>
      </c>
      <c r="AQ97" s="2" t="s">
        <v>58</v>
      </c>
    </row>
    <row r="98" spans="1:43" x14ac:dyDescent="0.2">
      <c r="A98" s="2">
        <v>124</v>
      </c>
      <c r="B98" s="2" t="s">
        <v>43</v>
      </c>
      <c r="C98" s="2" t="s">
        <v>44</v>
      </c>
      <c r="D98" s="2" t="s">
        <v>45</v>
      </c>
      <c r="E98" s="2"/>
      <c r="F98" s="2">
        <v>45101755</v>
      </c>
      <c r="G98" s="2" t="s">
        <v>46</v>
      </c>
      <c r="H98" s="3">
        <v>27681</v>
      </c>
      <c r="I98" s="2"/>
      <c r="J98" s="2" t="s">
        <v>231</v>
      </c>
      <c r="K98" s="2" t="s">
        <v>61</v>
      </c>
      <c r="L98" s="2">
        <v>12</v>
      </c>
      <c r="M98" s="2">
        <v>12</v>
      </c>
      <c r="N98" s="2"/>
      <c r="O98" s="2"/>
      <c r="P98" s="2"/>
      <c r="Q98" s="2">
        <v>50</v>
      </c>
      <c r="R98" s="2"/>
      <c r="S98" s="2" t="s">
        <v>76</v>
      </c>
      <c r="T98" s="2" t="s">
        <v>54</v>
      </c>
      <c r="U98" s="2" t="s">
        <v>54</v>
      </c>
      <c r="V98" s="2"/>
      <c r="W98" s="2" t="s">
        <v>85</v>
      </c>
      <c r="X98" s="2" t="b">
        <v>1</v>
      </c>
      <c r="Y98" s="2" t="s">
        <v>64</v>
      </c>
      <c r="Z98" s="2" t="s">
        <v>53</v>
      </c>
      <c r="AA98" s="2" t="s">
        <v>124</v>
      </c>
      <c r="AB98" s="2" t="s">
        <v>45</v>
      </c>
      <c r="AC98" s="2" t="s">
        <v>65</v>
      </c>
      <c r="AD98" s="2" t="s">
        <v>66</v>
      </c>
      <c r="AE98" s="2" t="s">
        <v>54</v>
      </c>
      <c r="AF98" s="2" t="s">
        <v>54</v>
      </c>
      <c r="AG98" s="2"/>
      <c r="AH98" s="2" t="s">
        <v>54</v>
      </c>
      <c r="AI98" s="2" t="s">
        <v>54</v>
      </c>
      <c r="AJ98" s="2">
        <v>8</v>
      </c>
      <c r="AK98" s="2">
        <v>0</v>
      </c>
      <c r="AL98" s="2" t="s">
        <v>71</v>
      </c>
      <c r="AM98" s="2" t="s">
        <v>162</v>
      </c>
      <c r="AN98" s="2" t="s">
        <v>55</v>
      </c>
      <c r="AO98" s="2">
        <v>0</v>
      </c>
      <c r="AP98" s="2" t="s">
        <v>55</v>
      </c>
      <c r="AQ98" s="2" t="s">
        <v>165</v>
      </c>
    </row>
    <row r="99" spans="1:43" x14ac:dyDescent="0.2">
      <c r="A99" s="2">
        <v>123</v>
      </c>
      <c r="B99" s="2" t="s">
        <v>163</v>
      </c>
      <c r="C99" s="2" t="s">
        <v>44</v>
      </c>
      <c r="D99" s="2" t="s">
        <v>45</v>
      </c>
      <c r="E99" s="2"/>
      <c r="F99" s="2">
        <v>24565814</v>
      </c>
      <c r="G99" s="2" t="s">
        <v>46</v>
      </c>
      <c r="H99" s="3">
        <v>18308</v>
      </c>
      <c r="I99" s="2"/>
      <c r="J99" s="2" t="s">
        <v>232</v>
      </c>
      <c r="K99" s="2"/>
      <c r="L99" s="2"/>
      <c r="M99" s="2"/>
      <c r="N99" s="2"/>
      <c r="O99" s="2"/>
      <c r="P99" s="2"/>
      <c r="Q99" s="2">
        <v>28</v>
      </c>
      <c r="R99" s="2">
        <v>50</v>
      </c>
      <c r="S99" s="2" t="s">
        <v>50</v>
      </c>
      <c r="T99" s="2" t="s">
        <v>54</v>
      </c>
      <c r="U99" s="2" t="s">
        <v>54</v>
      </c>
      <c r="V99" s="2" t="s">
        <v>78</v>
      </c>
      <c r="W99" s="2" t="s">
        <v>136</v>
      </c>
      <c r="X99" s="2" t="b">
        <v>0</v>
      </c>
      <c r="Y99" s="2" t="s">
        <v>64</v>
      </c>
      <c r="Z99" s="2" t="s">
        <v>64</v>
      </c>
      <c r="AA99" s="2" t="s">
        <v>147</v>
      </c>
      <c r="AB99" s="2" t="s">
        <v>45</v>
      </c>
      <c r="AC99" s="2"/>
      <c r="AD99" s="2" t="s">
        <v>81</v>
      </c>
      <c r="AE99" s="2" t="s">
        <v>54</v>
      </c>
      <c r="AF99" s="2" t="s">
        <v>54</v>
      </c>
      <c r="AG99" s="2"/>
      <c r="AH99" s="2" t="s">
        <v>54</v>
      </c>
      <c r="AI99" s="2" t="s">
        <v>54</v>
      </c>
      <c r="AJ99" s="2"/>
      <c r="AK99" s="2">
        <v>1</v>
      </c>
      <c r="AL99" s="2" t="s">
        <v>108</v>
      </c>
      <c r="AM99" s="2" t="s">
        <v>57</v>
      </c>
      <c r="AN99" s="2" t="s">
        <v>54</v>
      </c>
      <c r="AO99" s="2">
        <v>0</v>
      </c>
      <c r="AP99" s="2" t="s">
        <v>54</v>
      </c>
      <c r="AQ99" s="2" t="s">
        <v>165</v>
      </c>
    </row>
    <row r="100" spans="1:43" x14ac:dyDescent="0.2">
      <c r="A100" s="2">
        <v>122</v>
      </c>
      <c r="B100" s="2" t="s">
        <v>163</v>
      </c>
      <c r="C100" s="2" t="s">
        <v>44</v>
      </c>
      <c r="D100" s="2" t="s">
        <v>45</v>
      </c>
      <c r="E100" s="2"/>
      <c r="F100" s="2">
        <v>24565814</v>
      </c>
      <c r="G100" s="2" t="s">
        <v>46</v>
      </c>
      <c r="H100" s="3">
        <v>18308</v>
      </c>
      <c r="I100" s="2"/>
      <c r="J100" s="2" t="s">
        <v>232</v>
      </c>
      <c r="K100" s="2"/>
      <c r="L100" s="2"/>
      <c r="M100" s="2"/>
      <c r="N100" s="2"/>
      <c r="O100" s="2"/>
      <c r="P100" s="2"/>
      <c r="Q100" s="2">
        <v>28</v>
      </c>
      <c r="R100" s="2">
        <v>50</v>
      </c>
      <c r="S100" s="2" t="s">
        <v>50</v>
      </c>
      <c r="T100" s="2" t="s">
        <v>54</v>
      </c>
      <c r="U100" s="2" t="s">
        <v>54</v>
      </c>
      <c r="V100" s="2" t="s">
        <v>78</v>
      </c>
      <c r="W100" s="2" t="s">
        <v>136</v>
      </c>
      <c r="X100" s="2" t="b">
        <v>0</v>
      </c>
      <c r="Y100" s="2" t="s">
        <v>64</v>
      </c>
      <c r="Z100" s="2" t="s">
        <v>64</v>
      </c>
      <c r="AA100" s="2" t="s">
        <v>147</v>
      </c>
      <c r="AB100" s="2" t="s">
        <v>45</v>
      </c>
      <c r="AC100" s="2"/>
      <c r="AD100" s="2" t="s">
        <v>81</v>
      </c>
      <c r="AE100" s="2" t="s">
        <v>54</v>
      </c>
      <c r="AF100" s="2" t="s">
        <v>54</v>
      </c>
      <c r="AG100" s="2"/>
      <c r="AH100" s="2" t="s">
        <v>54</v>
      </c>
      <c r="AI100" s="2" t="s">
        <v>54</v>
      </c>
      <c r="AJ100" s="2"/>
      <c r="AK100" s="2">
        <v>1</v>
      </c>
      <c r="AL100" s="2" t="s">
        <v>108</v>
      </c>
      <c r="AM100" s="2" t="s">
        <v>57</v>
      </c>
      <c r="AN100" s="2" t="s">
        <v>54</v>
      </c>
      <c r="AO100" s="2">
        <v>0</v>
      </c>
      <c r="AP100" s="2" t="s">
        <v>54</v>
      </c>
      <c r="AQ100" s="2" t="s">
        <v>165</v>
      </c>
    </row>
    <row r="101" spans="1:43" x14ac:dyDescent="0.2">
      <c r="A101" s="2">
        <v>121</v>
      </c>
      <c r="B101" s="2" t="s">
        <v>163</v>
      </c>
      <c r="C101" s="2" t="s">
        <v>44</v>
      </c>
      <c r="D101" s="2" t="s">
        <v>45</v>
      </c>
      <c r="E101" s="2" t="s">
        <v>233</v>
      </c>
      <c r="F101" s="2">
        <v>23887029</v>
      </c>
      <c r="G101" s="2" t="s">
        <v>59</v>
      </c>
      <c r="H101" s="3">
        <v>33424</v>
      </c>
      <c r="I101" s="2" t="s">
        <v>234</v>
      </c>
      <c r="J101" s="2" t="s">
        <v>235</v>
      </c>
      <c r="K101" s="2" t="s">
        <v>49</v>
      </c>
      <c r="L101" s="2">
        <v>9</v>
      </c>
      <c r="M101" s="2">
        <v>12</v>
      </c>
      <c r="N101" s="2"/>
      <c r="O101" s="2"/>
      <c r="P101" s="2">
        <v>22</v>
      </c>
      <c r="Q101" s="2">
        <v>40</v>
      </c>
      <c r="R101" s="2"/>
      <c r="S101" s="2" t="s">
        <v>62</v>
      </c>
      <c r="T101" s="2" t="s">
        <v>54</v>
      </c>
      <c r="U101" s="2" t="s">
        <v>54</v>
      </c>
      <c r="V101" s="2" t="s">
        <v>70</v>
      </c>
      <c r="W101" s="2" t="s">
        <v>79</v>
      </c>
      <c r="X101" s="2" t="b">
        <v>0</v>
      </c>
      <c r="Y101" s="2" t="s">
        <v>64</v>
      </c>
      <c r="Z101" s="2" t="s">
        <v>64</v>
      </c>
      <c r="AA101" s="2" t="s">
        <v>147</v>
      </c>
      <c r="AB101" s="2" t="s">
        <v>45</v>
      </c>
      <c r="AC101" s="2"/>
      <c r="AD101" s="2" t="s">
        <v>66</v>
      </c>
      <c r="AE101" s="2" t="s">
        <v>54</v>
      </c>
      <c r="AF101" s="2" t="s">
        <v>54</v>
      </c>
      <c r="AG101" s="2"/>
      <c r="AH101" s="2" t="s">
        <v>54</v>
      </c>
      <c r="AI101" s="2" t="s">
        <v>236</v>
      </c>
      <c r="AJ101" s="2"/>
      <c r="AK101" s="2">
        <v>0</v>
      </c>
      <c r="AL101" s="2" t="s">
        <v>57</v>
      </c>
      <c r="AM101" s="2" t="s">
        <v>57</v>
      </c>
      <c r="AN101" s="2" t="s">
        <v>54</v>
      </c>
      <c r="AO101" s="2">
        <v>0</v>
      </c>
      <c r="AP101" s="2" t="s">
        <v>54</v>
      </c>
      <c r="AQ101" s="2" t="s">
        <v>165</v>
      </c>
    </row>
    <row r="102" spans="1:43" x14ac:dyDescent="0.2">
      <c r="A102" s="2">
        <v>120</v>
      </c>
      <c r="B102" s="2" t="s">
        <v>43</v>
      </c>
      <c r="C102" s="2" t="s">
        <v>44</v>
      </c>
      <c r="D102" s="2" t="s">
        <v>45</v>
      </c>
      <c r="E102" s="2"/>
      <c r="F102" s="2">
        <v>45206695</v>
      </c>
      <c r="G102" s="2" t="s">
        <v>46</v>
      </c>
      <c r="H102" s="3">
        <v>22239</v>
      </c>
      <c r="I102" s="2"/>
      <c r="J102" s="2" t="s">
        <v>237</v>
      </c>
      <c r="K102" s="2"/>
      <c r="L102" s="2">
        <v>5</v>
      </c>
      <c r="M102" s="2">
        <v>12</v>
      </c>
      <c r="N102" s="2"/>
      <c r="O102" s="2"/>
      <c r="P102" s="2"/>
      <c r="Q102" s="2">
        <v>60</v>
      </c>
      <c r="R102" s="2"/>
      <c r="S102" s="2" t="s">
        <v>50</v>
      </c>
      <c r="T102" s="2" t="s">
        <v>54</v>
      </c>
      <c r="U102" s="2" t="s">
        <v>54</v>
      </c>
      <c r="V102" s="2"/>
      <c r="W102" s="2" t="s">
        <v>52</v>
      </c>
      <c r="X102" s="2" t="b">
        <v>0</v>
      </c>
      <c r="Y102" s="2" t="s">
        <v>64</v>
      </c>
      <c r="Z102" s="2" t="s">
        <v>64</v>
      </c>
      <c r="AA102" s="2" t="s">
        <v>147</v>
      </c>
      <c r="AB102" s="2" t="s">
        <v>45</v>
      </c>
      <c r="AC102" s="2" t="s">
        <v>65</v>
      </c>
      <c r="AD102" s="2" t="s">
        <v>66</v>
      </c>
      <c r="AE102" s="2"/>
      <c r="AF102" s="2"/>
      <c r="AG102" s="2"/>
      <c r="AH102" s="2" t="s">
        <v>54</v>
      </c>
      <c r="AI102" s="2" t="s">
        <v>54</v>
      </c>
      <c r="AJ102" s="2">
        <v>7</v>
      </c>
      <c r="AK102" s="2">
        <v>4</v>
      </c>
      <c r="AL102" s="2" t="s">
        <v>238</v>
      </c>
      <c r="AM102" s="2" t="s">
        <v>57</v>
      </c>
      <c r="AN102" s="2" t="s">
        <v>54</v>
      </c>
      <c r="AO102" s="2">
        <v>0</v>
      </c>
      <c r="AP102" s="2" t="s">
        <v>54</v>
      </c>
      <c r="AQ102" s="2" t="s">
        <v>58</v>
      </c>
    </row>
    <row r="103" spans="1:43" x14ac:dyDescent="0.2">
      <c r="A103" s="2">
        <v>119</v>
      </c>
      <c r="B103" s="2" t="s">
        <v>163</v>
      </c>
      <c r="C103" s="2" t="s">
        <v>44</v>
      </c>
      <c r="D103" s="2" t="s">
        <v>45</v>
      </c>
      <c r="E103" s="2"/>
      <c r="F103" s="2">
        <v>23319098</v>
      </c>
      <c r="G103" s="2" t="s">
        <v>59</v>
      </c>
      <c r="H103" s="3">
        <v>17462</v>
      </c>
      <c r="I103" s="2" t="s">
        <v>239</v>
      </c>
      <c r="J103" s="2" t="s">
        <v>240</v>
      </c>
      <c r="K103" s="2" t="s">
        <v>61</v>
      </c>
      <c r="L103" s="2"/>
      <c r="M103" s="2"/>
      <c r="N103" s="2"/>
      <c r="O103" s="2"/>
      <c r="P103" s="2"/>
      <c r="Q103" s="2">
        <v>40</v>
      </c>
      <c r="R103" s="2">
        <v>80</v>
      </c>
      <c r="S103" s="2" t="s">
        <v>50</v>
      </c>
      <c r="T103" s="2" t="s">
        <v>54</v>
      </c>
      <c r="U103" s="2" t="s">
        <v>54</v>
      </c>
      <c r="V103" s="2" t="s">
        <v>70</v>
      </c>
      <c r="W103" s="2" t="s">
        <v>52</v>
      </c>
      <c r="X103" s="2" t="b">
        <v>0</v>
      </c>
      <c r="Y103" s="2" t="s">
        <v>64</v>
      </c>
      <c r="Z103" s="2" t="s">
        <v>64</v>
      </c>
      <c r="AA103" s="2" t="s">
        <v>147</v>
      </c>
      <c r="AB103" s="2" t="s">
        <v>45</v>
      </c>
      <c r="AC103" s="2" t="s">
        <v>65</v>
      </c>
      <c r="AD103" s="2" t="s">
        <v>66</v>
      </c>
      <c r="AE103" s="2" t="s">
        <v>54</v>
      </c>
      <c r="AF103" s="2" t="s">
        <v>54</v>
      </c>
      <c r="AG103" s="2"/>
      <c r="AH103" s="2" t="s">
        <v>54</v>
      </c>
      <c r="AI103" s="2" t="s">
        <v>54</v>
      </c>
      <c r="AJ103" s="2"/>
      <c r="AK103" s="2">
        <v>4</v>
      </c>
      <c r="AL103" s="2" t="s">
        <v>108</v>
      </c>
      <c r="AM103" s="2" t="s">
        <v>57</v>
      </c>
      <c r="AN103" s="2" t="s">
        <v>54</v>
      </c>
      <c r="AO103" s="2">
        <v>0</v>
      </c>
      <c r="AP103" s="2" t="s">
        <v>54</v>
      </c>
      <c r="AQ103" s="2" t="s">
        <v>165</v>
      </c>
    </row>
    <row r="104" spans="1:43" x14ac:dyDescent="0.2">
      <c r="A104" s="2">
        <v>118</v>
      </c>
      <c r="B104" s="2" t="s">
        <v>163</v>
      </c>
      <c r="C104" s="2" t="s">
        <v>44</v>
      </c>
      <c r="D104" s="2" t="s">
        <v>45</v>
      </c>
      <c r="E104" s="2"/>
      <c r="F104" s="2">
        <v>23149875</v>
      </c>
      <c r="G104" s="2" t="s">
        <v>59</v>
      </c>
      <c r="H104" s="3">
        <v>12442</v>
      </c>
      <c r="I104" s="2"/>
      <c r="J104" s="2" t="s">
        <v>241</v>
      </c>
      <c r="K104" s="2" t="s">
        <v>167</v>
      </c>
      <c r="L104" s="2"/>
      <c r="M104" s="2"/>
      <c r="N104" s="2"/>
      <c r="O104" s="2"/>
      <c r="P104" s="2"/>
      <c r="Q104" s="2">
        <v>50</v>
      </c>
      <c r="R104" s="2">
        <v>20</v>
      </c>
      <c r="S104" s="2" t="s">
        <v>76</v>
      </c>
      <c r="T104" s="2" t="s">
        <v>54</v>
      </c>
      <c r="U104" s="2" t="s">
        <v>54</v>
      </c>
      <c r="V104" s="2" t="s">
        <v>70</v>
      </c>
      <c r="W104" s="2" t="s">
        <v>52</v>
      </c>
      <c r="X104" s="2" t="b">
        <v>0</v>
      </c>
      <c r="Y104" s="2" t="s">
        <v>53</v>
      </c>
      <c r="Z104" s="2" t="s">
        <v>64</v>
      </c>
      <c r="AA104" s="2" t="s">
        <v>147</v>
      </c>
      <c r="AB104" s="2" t="s">
        <v>45</v>
      </c>
      <c r="AC104" s="2" t="s">
        <v>80</v>
      </c>
      <c r="AD104" s="2" t="s">
        <v>66</v>
      </c>
      <c r="AE104" s="2" t="s">
        <v>54</v>
      </c>
      <c r="AF104" s="2" t="s">
        <v>54</v>
      </c>
      <c r="AG104" s="2"/>
      <c r="AH104" s="2" t="s">
        <v>54</v>
      </c>
      <c r="AI104" s="2" t="s">
        <v>55</v>
      </c>
      <c r="AJ104" s="2"/>
      <c r="AK104" s="2">
        <v>4</v>
      </c>
      <c r="AL104" s="2" t="s">
        <v>131</v>
      </c>
      <c r="AM104" s="2" t="s">
        <v>57</v>
      </c>
      <c r="AN104" s="2" t="s">
        <v>54</v>
      </c>
      <c r="AO104" s="2">
        <v>0</v>
      </c>
      <c r="AP104" s="2" t="s">
        <v>54</v>
      </c>
      <c r="AQ104" s="2" t="s">
        <v>165</v>
      </c>
    </row>
    <row r="105" spans="1:43" x14ac:dyDescent="0.2">
      <c r="A105" s="2">
        <v>117</v>
      </c>
      <c r="B105" s="2" t="s">
        <v>163</v>
      </c>
      <c r="C105" s="2" t="s">
        <v>44</v>
      </c>
      <c r="D105" s="2" t="s">
        <v>45</v>
      </c>
      <c r="E105" s="2"/>
      <c r="F105" s="2">
        <v>23044324</v>
      </c>
      <c r="G105" s="2" t="s">
        <v>46</v>
      </c>
      <c r="H105" s="3">
        <v>15585</v>
      </c>
      <c r="I105" s="2"/>
      <c r="J105" s="2" t="s">
        <v>242</v>
      </c>
      <c r="K105" s="2" t="s">
        <v>61</v>
      </c>
      <c r="L105" s="2"/>
      <c r="M105" s="2"/>
      <c r="N105" s="2"/>
      <c r="O105" s="2"/>
      <c r="P105" s="2"/>
      <c r="Q105" s="2">
        <v>44</v>
      </c>
      <c r="R105" s="2">
        <v>46</v>
      </c>
      <c r="S105" s="2" t="s">
        <v>50</v>
      </c>
      <c r="T105" s="2" t="s">
        <v>54</v>
      </c>
      <c r="U105" s="2" t="s">
        <v>54</v>
      </c>
      <c r="V105" s="2" t="s">
        <v>63</v>
      </c>
      <c r="W105" s="2" t="s">
        <v>85</v>
      </c>
      <c r="X105" s="2" t="b">
        <v>0</v>
      </c>
      <c r="Y105" s="2" t="s">
        <v>64</v>
      </c>
      <c r="Z105" s="2" t="s">
        <v>53</v>
      </c>
      <c r="AA105" s="2" t="s">
        <v>147</v>
      </c>
      <c r="AB105" s="2" t="s">
        <v>45</v>
      </c>
      <c r="AC105" s="2"/>
      <c r="AD105" s="2" t="s">
        <v>66</v>
      </c>
      <c r="AE105" s="2" t="s">
        <v>54</v>
      </c>
      <c r="AF105" s="2" t="s">
        <v>55</v>
      </c>
      <c r="AG105" s="2" t="s">
        <v>243</v>
      </c>
      <c r="AH105" s="2" t="s">
        <v>55</v>
      </c>
      <c r="AI105" s="2" t="s">
        <v>54</v>
      </c>
      <c r="AJ105" s="2"/>
      <c r="AK105" s="2">
        <v>0</v>
      </c>
      <c r="AL105" s="2" t="s">
        <v>244</v>
      </c>
      <c r="AM105" s="2" t="s">
        <v>57</v>
      </c>
      <c r="AN105" s="2" t="s">
        <v>54</v>
      </c>
      <c r="AO105" s="2">
        <v>0</v>
      </c>
      <c r="AP105" s="2" t="s">
        <v>55</v>
      </c>
      <c r="AQ105" s="2" t="s">
        <v>165</v>
      </c>
    </row>
    <row r="106" spans="1:43" x14ac:dyDescent="0.2">
      <c r="A106" s="2">
        <v>116</v>
      </c>
      <c r="B106" s="2" t="s">
        <v>163</v>
      </c>
      <c r="C106" s="2" t="s">
        <v>44</v>
      </c>
      <c r="D106" s="2" t="s">
        <v>45</v>
      </c>
      <c r="E106" s="2"/>
      <c r="F106" s="2">
        <v>22711733</v>
      </c>
      <c r="G106" s="2" t="s">
        <v>59</v>
      </c>
      <c r="H106" s="3">
        <v>24413</v>
      </c>
      <c r="I106" s="2" t="s">
        <v>245</v>
      </c>
      <c r="J106" s="2" t="s">
        <v>246</v>
      </c>
      <c r="K106" s="2" t="s">
        <v>167</v>
      </c>
      <c r="L106" s="2"/>
      <c r="M106" s="2"/>
      <c r="N106" s="2"/>
      <c r="O106" s="2"/>
      <c r="P106" s="2">
        <v>22</v>
      </c>
      <c r="Q106" s="2">
        <v>50</v>
      </c>
      <c r="R106" s="2">
        <v>80</v>
      </c>
      <c r="S106" s="2"/>
      <c r="T106" s="2" t="s">
        <v>54</v>
      </c>
      <c r="U106" s="2" t="s">
        <v>54</v>
      </c>
      <c r="V106" s="2" t="s">
        <v>70</v>
      </c>
      <c r="W106" s="2" t="s">
        <v>160</v>
      </c>
      <c r="X106" s="2" t="b">
        <v>1</v>
      </c>
      <c r="Y106" s="2" t="s">
        <v>53</v>
      </c>
      <c r="Z106" s="2" t="s">
        <v>64</v>
      </c>
      <c r="AA106" s="2" t="s">
        <v>147</v>
      </c>
      <c r="AB106" s="2" t="s">
        <v>45</v>
      </c>
      <c r="AC106" s="2"/>
      <c r="AD106" s="2" t="s">
        <v>66</v>
      </c>
      <c r="AE106" s="2" t="s">
        <v>54</v>
      </c>
      <c r="AF106" s="2" t="s">
        <v>54</v>
      </c>
      <c r="AG106" s="2"/>
      <c r="AH106" s="2" t="s">
        <v>54</v>
      </c>
      <c r="AI106" s="2" t="s">
        <v>55</v>
      </c>
      <c r="AJ106" s="2">
        <v>8</v>
      </c>
      <c r="AK106" s="2">
        <v>10</v>
      </c>
      <c r="AL106" s="2" t="s">
        <v>131</v>
      </c>
      <c r="AM106" s="2" t="s">
        <v>57</v>
      </c>
      <c r="AN106" s="2" t="s">
        <v>55</v>
      </c>
      <c r="AO106" s="2">
        <v>0</v>
      </c>
      <c r="AP106" s="2" t="s">
        <v>54</v>
      </c>
      <c r="AQ106" s="2" t="s">
        <v>165</v>
      </c>
    </row>
    <row r="107" spans="1:43" x14ac:dyDescent="0.2">
      <c r="A107" s="2">
        <v>115</v>
      </c>
      <c r="B107" s="2" t="s">
        <v>163</v>
      </c>
      <c r="C107" s="2" t="s">
        <v>44</v>
      </c>
      <c r="D107" s="2" t="s">
        <v>45</v>
      </c>
      <c r="E107" s="2"/>
      <c r="F107" s="2">
        <v>22643670</v>
      </c>
      <c r="G107" s="2" t="s">
        <v>46</v>
      </c>
      <c r="H107" s="3">
        <v>17669</v>
      </c>
      <c r="I107" s="2" t="s">
        <v>245</v>
      </c>
      <c r="J107" s="2" t="s">
        <v>247</v>
      </c>
      <c r="K107" s="2" t="s">
        <v>61</v>
      </c>
      <c r="L107" s="2"/>
      <c r="M107" s="2"/>
      <c r="N107" s="2"/>
      <c r="O107" s="2"/>
      <c r="P107" s="2">
        <v>22</v>
      </c>
      <c r="Q107" s="2">
        <v>50</v>
      </c>
      <c r="R107" s="2">
        <v>40</v>
      </c>
      <c r="S107" s="2" t="s">
        <v>50</v>
      </c>
      <c r="T107" s="2" t="s">
        <v>54</v>
      </c>
      <c r="U107" s="2" t="s">
        <v>54</v>
      </c>
      <c r="V107" s="2" t="s">
        <v>63</v>
      </c>
      <c r="W107" s="2" t="s">
        <v>52</v>
      </c>
      <c r="X107" s="2" t="b">
        <v>1</v>
      </c>
      <c r="Y107" s="2" t="s">
        <v>53</v>
      </c>
      <c r="Z107" s="2" t="s">
        <v>53</v>
      </c>
      <c r="AA107" s="2" t="s">
        <v>147</v>
      </c>
      <c r="AB107" s="2" t="s">
        <v>45</v>
      </c>
      <c r="AC107" s="2"/>
      <c r="AD107" s="2" t="s">
        <v>66</v>
      </c>
      <c r="AE107" s="2" t="s">
        <v>54</v>
      </c>
      <c r="AF107" s="2" t="s">
        <v>55</v>
      </c>
      <c r="AG107" s="2" t="s">
        <v>248</v>
      </c>
      <c r="AH107" s="2" t="s">
        <v>55</v>
      </c>
      <c r="AI107" s="2" t="s">
        <v>55</v>
      </c>
      <c r="AJ107" s="2">
        <v>8</v>
      </c>
      <c r="AK107" s="2">
        <v>4</v>
      </c>
      <c r="AL107" s="2" t="s">
        <v>131</v>
      </c>
      <c r="AM107" s="2" t="s">
        <v>57</v>
      </c>
      <c r="AN107" s="2" t="s">
        <v>55</v>
      </c>
      <c r="AO107" s="2">
        <v>1</v>
      </c>
      <c r="AP107" s="2" t="s">
        <v>55</v>
      </c>
      <c r="AQ107" s="2" t="s">
        <v>165</v>
      </c>
    </row>
    <row r="108" spans="1:43" x14ac:dyDescent="0.2">
      <c r="A108" s="2">
        <v>114</v>
      </c>
      <c r="B108" s="2" t="s">
        <v>163</v>
      </c>
      <c r="C108" s="2" t="s">
        <v>44</v>
      </c>
      <c r="D108" s="2" t="s">
        <v>45</v>
      </c>
      <c r="E108" s="2"/>
      <c r="F108" s="2">
        <v>22186357</v>
      </c>
      <c r="G108" s="2" t="s">
        <v>46</v>
      </c>
      <c r="H108" s="3">
        <v>12374</v>
      </c>
      <c r="I108" s="2"/>
      <c r="J108" s="2" t="s">
        <v>249</v>
      </c>
      <c r="K108" s="2" t="s">
        <v>61</v>
      </c>
      <c r="L108" s="2"/>
      <c r="M108" s="2"/>
      <c r="N108" s="2"/>
      <c r="O108" s="2"/>
      <c r="P108" s="2"/>
      <c r="Q108" s="2">
        <v>32</v>
      </c>
      <c r="R108" s="2">
        <v>60</v>
      </c>
      <c r="S108" s="2" t="s">
        <v>50</v>
      </c>
      <c r="T108" s="2" t="s">
        <v>54</v>
      </c>
      <c r="U108" s="2" t="s">
        <v>54</v>
      </c>
      <c r="V108" s="2" t="s">
        <v>70</v>
      </c>
      <c r="W108" s="2" t="s">
        <v>85</v>
      </c>
      <c r="X108" s="2" t="b">
        <v>0</v>
      </c>
      <c r="Y108" s="2" t="s">
        <v>53</v>
      </c>
      <c r="Z108" s="2" t="s">
        <v>64</v>
      </c>
      <c r="AA108" s="2" t="s">
        <v>147</v>
      </c>
      <c r="AB108" s="2" t="s">
        <v>45</v>
      </c>
      <c r="AC108" s="2"/>
      <c r="AD108" s="2" t="s">
        <v>66</v>
      </c>
      <c r="AE108" s="2" t="s">
        <v>54</v>
      </c>
      <c r="AF108" s="2" t="s">
        <v>54</v>
      </c>
      <c r="AG108" s="2"/>
      <c r="AH108" s="2" t="s">
        <v>54</v>
      </c>
      <c r="AI108" s="2" t="s">
        <v>55</v>
      </c>
      <c r="AJ108" s="2">
        <v>3</v>
      </c>
      <c r="AK108" s="2">
        <v>0</v>
      </c>
      <c r="AL108" s="2" t="s">
        <v>74</v>
      </c>
      <c r="AM108" s="2" t="s">
        <v>57</v>
      </c>
      <c r="AN108" s="2" t="s">
        <v>54</v>
      </c>
      <c r="AO108" s="2">
        <v>0</v>
      </c>
      <c r="AP108" s="2" t="s">
        <v>54</v>
      </c>
      <c r="AQ108" s="2" t="s">
        <v>165</v>
      </c>
    </row>
    <row r="109" spans="1:43" x14ac:dyDescent="0.2">
      <c r="A109" s="2">
        <v>113</v>
      </c>
      <c r="B109" s="2" t="s">
        <v>163</v>
      </c>
      <c r="C109" s="2" t="s">
        <v>44</v>
      </c>
      <c r="D109" s="2" t="s">
        <v>45</v>
      </c>
      <c r="E109" s="2"/>
      <c r="F109" s="2">
        <v>22186357</v>
      </c>
      <c r="G109" s="2" t="s">
        <v>46</v>
      </c>
      <c r="H109" s="3">
        <v>12374</v>
      </c>
      <c r="I109" s="2"/>
      <c r="J109" s="2" t="s">
        <v>249</v>
      </c>
      <c r="K109" s="2" t="s">
        <v>61</v>
      </c>
      <c r="L109" s="2"/>
      <c r="M109" s="2"/>
      <c r="N109" s="2"/>
      <c r="O109" s="2"/>
      <c r="P109" s="2"/>
      <c r="Q109" s="2">
        <v>32</v>
      </c>
      <c r="R109" s="2">
        <v>60</v>
      </c>
      <c r="S109" s="2" t="s">
        <v>50</v>
      </c>
      <c r="T109" s="2" t="s">
        <v>54</v>
      </c>
      <c r="U109" s="2" t="s">
        <v>54</v>
      </c>
      <c r="V109" s="2" t="s">
        <v>70</v>
      </c>
      <c r="W109" s="2" t="s">
        <v>85</v>
      </c>
      <c r="X109" s="2" t="b">
        <v>0</v>
      </c>
      <c r="Y109" s="2" t="s">
        <v>53</v>
      </c>
      <c r="Z109" s="2" t="s">
        <v>64</v>
      </c>
      <c r="AA109" s="2" t="s">
        <v>147</v>
      </c>
      <c r="AB109" s="2" t="s">
        <v>45</v>
      </c>
      <c r="AC109" s="2"/>
      <c r="AD109" s="2" t="s">
        <v>66</v>
      </c>
      <c r="AE109" s="2" t="s">
        <v>54</v>
      </c>
      <c r="AF109" s="2" t="s">
        <v>54</v>
      </c>
      <c r="AG109" s="2"/>
      <c r="AH109" s="2" t="s">
        <v>54</v>
      </c>
      <c r="AI109" s="2" t="s">
        <v>55</v>
      </c>
      <c r="AJ109" s="2">
        <v>3</v>
      </c>
      <c r="AK109" s="2">
        <v>0</v>
      </c>
      <c r="AL109" s="2" t="s">
        <v>74</v>
      </c>
      <c r="AM109" s="2" t="s">
        <v>57</v>
      </c>
      <c r="AN109" s="2" t="s">
        <v>54</v>
      </c>
      <c r="AO109" s="2">
        <v>0</v>
      </c>
      <c r="AP109" s="2" t="s">
        <v>54</v>
      </c>
      <c r="AQ109" s="2" t="s">
        <v>165</v>
      </c>
    </row>
    <row r="110" spans="1:43" x14ac:dyDescent="0.2">
      <c r="A110" s="2">
        <v>112</v>
      </c>
      <c r="B110" s="2" t="s">
        <v>163</v>
      </c>
      <c r="C110" s="2" t="s">
        <v>44</v>
      </c>
      <c r="D110" s="2" t="s">
        <v>45</v>
      </c>
      <c r="E110" s="2"/>
      <c r="F110" s="2">
        <v>20142840</v>
      </c>
      <c r="G110" s="2" t="s">
        <v>46</v>
      </c>
      <c r="H110" s="3">
        <v>16966</v>
      </c>
      <c r="I110" s="2"/>
      <c r="J110" s="2" t="s">
        <v>250</v>
      </c>
      <c r="K110" s="2" t="s">
        <v>61</v>
      </c>
      <c r="L110" s="2"/>
      <c r="M110" s="2"/>
      <c r="N110" s="2"/>
      <c r="O110" s="2"/>
      <c r="P110" s="2"/>
      <c r="Q110" s="2">
        <v>60</v>
      </c>
      <c r="R110" s="2">
        <v>70</v>
      </c>
      <c r="S110" s="2" t="s">
        <v>50</v>
      </c>
      <c r="T110" s="2" t="s">
        <v>54</v>
      </c>
      <c r="U110" s="2" t="s">
        <v>54</v>
      </c>
      <c r="V110" s="2" t="s">
        <v>51</v>
      </c>
      <c r="W110" s="2" t="s">
        <v>85</v>
      </c>
      <c r="X110" s="2" t="b">
        <v>0</v>
      </c>
      <c r="Y110" s="2" t="s">
        <v>64</v>
      </c>
      <c r="Z110" s="2" t="s">
        <v>64</v>
      </c>
      <c r="AA110" s="2" t="s">
        <v>147</v>
      </c>
      <c r="AB110" s="2" t="s">
        <v>45</v>
      </c>
      <c r="AC110" s="2" t="s">
        <v>65</v>
      </c>
      <c r="AD110" s="2" t="s">
        <v>66</v>
      </c>
      <c r="AE110" s="2"/>
      <c r="AF110" s="2"/>
      <c r="AG110" s="2"/>
      <c r="AH110" s="2" t="s">
        <v>55</v>
      </c>
      <c r="AI110" s="2" t="s">
        <v>54</v>
      </c>
      <c r="AJ110" s="2"/>
      <c r="AK110" s="2">
        <v>0</v>
      </c>
      <c r="AL110" s="2" t="s">
        <v>131</v>
      </c>
      <c r="AM110" s="2" t="s">
        <v>57</v>
      </c>
      <c r="AN110" s="2" t="s">
        <v>54</v>
      </c>
      <c r="AO110" s="2">
        <v>0</v>
      </c>
      <c r="AP110" s="2" t="s">
        <v>54</v>
      </c>
      <c r="AQ110" s="2" t="s">
        <v>165</v>
      </c>
    </row>
    <row r="111" spans="1:43" x14ac:dyDescent="0.2">
      <c r="A111" s="2">
        <v>111</v>
      </c>
      <c r="B111" s="2" t="s">
        <v>163</v>
      </c>
      <c r="C111" s="2" t="s">
        <v>44</v>
      </c>
      <c r="D111" s="2" t="s">
        <v>45</v>
      </c>
      <c r="E111" s="2"/>
      <c r="F111" s="2">
        <v>19687169</v>
      </c>
      <c r="G111" s="2" t="s">
        <v>46</v>
      </c>
      <c r="H111" s="3">
        <v>18161</v>
      </c>
      <c r="I111" s="2" t="s">
        <v>251</v>
      </c>
      <c r="J111" s="2" t="s">
        <v>252</v>
      </c>
      <c r="K111" s="2" t="s">
        <v>61</v>
      </c>
      <c r="L111" s="2"/>
      <c r="M111" s="2"/>
      <c r="N111" s="2"/>
      <c r="O111" s="2"/>
      <c r="P111" s="2"/>
      <c r="Q111" s="2">
        <v>44</v>
      </c>
      <c r="R111" s="2">
        <v>60</v>
      </c>
      <c r="S111" s="2" t="s">
        <v>50</v>
      </c>
      <c r="T111" s="2" t="s">
        <v>54</v>
      </c>
      <c r="U111" s="2" t="s">
        <v>54</v>
      </c>
      <c r="V111" s="2" t="s">
        <v>51</v>
      </c>
      <c r="W111" s="2" t="s">
        <v>52</v>
      </c>
      <c r="X111" s="2" t="b">
        <v>0</v>
      </c>
      <c r="Y111" s="2" t="s">
        <v>64</v>
      </c>
      <c r="Z111" s="2" t="s">
        <v>64</v>
      </c>
      <c r="AA111" s="2" t="s">
        <v>147</v>
      </c>
      <c r="AB111" s="2" t="s">
        <v>45</v>
      </c>
      <c r="AC111" s="2"/>
      <c r="AD111" s="2"/>
      <c r="AE111" s="2" t="s">
        <v>54</v>
      </c>
      <c r="AF111" s="2" t="s">
        <v>54</v>
      </c>
      <c r="AG111" s="2"/>
      <c r="AH111" s="2" t="s">
        <v>55</v>
      </c>
      <c r="AI111" s="2" t="s">
        <v>54</v>
      </c>
      <c r="AJ111" s="2"/>
      <c r="AK111" s="2">
        <v>4</v>
      </c>
      <c r="AL111" s="2" t="s">
        <v>131</v>
      </c>
      <c r="AM111" s="2" t="s">
        <v>57</v>
      </c>
      <c r="AN111" s="2" t="s">
        <v>54</v>
      </c>
      <c r="AO111" s="2">
        <v>0</v>
      </c>
      <c r="AP111" s="2" t="s">
        <v>54</v>
      </c>
      <c r="AQ111" s="2" t="s">
        <v>165</v>
      </c>
    </row>
    <row r="112" spans="1:43" x14ac:dyDescent="0.2">
      <c r="A112" s="2">
        <v>110</v>
      </c>
      <c r="B112" s="2" t="s">
        <v>163</v>
      </c>
      <c r="C112" s="2" t="s">
        <v>44</v>
      </c>
      <c r="D112" s="2" t="s">
        <v>45</v>
      </c>
      <c r="E112" s="2"/>
      <c r="F112" s="2">
        <v>18722926</v>
      </c>
      <c r="G112" s="2" t="s">
        <v>46</v>
      </c>
      <c r="H112" s="3">
        <v>20196</v>
      </c>
      <c r="I112" s="2" t="s">
        <v>253</v>
      </c>
      <c r="J112" s="2" t="s">
        <v>254</v>
      </c>
      <c r="K112" s="2" t="s">
        <v>167</v>
      </c>
      <c r="L112" s="2"/>
      <c r="M112" s="2"/>
      <c r="N112" s="2"/>
      <c r="O112" s="2"/>
      <c r="P112" s="2"/>
      <c r="Q112" s="2">
        <v>50</v>
      </c>
      <c r="R112" s="2">
        <v>50</v>
      </c>
      <c r="S112" s="2"/>
      <c r="T112" s="2" t="s">
        <v>54</v>
      </c>
      <c r="U112" s="2" t="s">
        <v>54</v>
      </c>
      <c r="V112" s="2" t="s">
        <v>70</v>
      </c>
      <c r="W112" s="2" t="s">
        <v>79</v>
      </c>
      <c r="X112" s="2" t="b">
        <v>0</v>
      </c>
      <c r="Y112" s="2" t="s">
        <v>64</v>
      </c>
      <c r="Z112" s="2" t="s">
        <v>64</v>
      </c>
      <c r="AA112" s="2" t="s">
        <v>147</v>
      </c>
      <c r="AB112" s="2" t="s">
        <v>45</v>
      </c>
      <c r="AC112" s="2"/>
      <c r="AD112" s="2" t="s">
        <v>66</v>
      </c>
      <c r="AE112" s="2" t="s">
        <v>54</v>
      </c>
      <c r="AF112" s="2" t="s">
        <v>54</v>
      </c>
      <c r="AG112" s="2"/>
      <c r="AH112" s="2" t="s">
        <v>54</v>
      </c>
      <c r="AI112" s="2" t="s">
        <v>54</v>
      </c>
      <c r="AJ112" s="2"/>
      <c r="AK112" s="2">
        <v>0</v>
      </c>
      <c r="AL112" s="2" t="s">
        <v>57</v>
      </c>
      <c r="AM112" s="2" t="s">
        <v>57</v>
      </c>
      <c r="AN112" s="2" t="s">
        <v>54</v>
      </c>
      <c r="AO112" s="2">
        <v>0</v>
      </c>
      <c r="AP112" s="2" t="s">
        <v>54</v>
      </c>
      <c r="AQ112" s="2" t="s">
        <v>165</v>
      </c>
    </row>
    <row r="113" spans="1:43" x14ac:dyDescent="0.2">
      <c r="A113" s="2">
        <v>109</v>
      </c>
      <c r="B113" s="2" t="s">
        <v>163</v>
      </c>
      <c r="C113" s="2" t="s">
        <v>44</v>
      </c>
      <c r="D113" s="2" t="s">
        <v>45</v>
      </c>
      <c r="E113" s="2"/>
      <c r="F113" s="2">
        <v>18698761</v>
      </c>
      <c r="G113" s="2" t="s">
        <v>59</v>
      </c>
      <c r="H113" s="3">
        <v>27967</v>
      </c>
      <c r="I113" s="2" t="s">
        <v>255</v>
      </c>
      <c r="J113" s="2" t="s">
        <v>256</v>
      </c>
      <c r="K113" s="2" t="s">
        <v>167</v>
      </c>
      <c r="L113" s="2">
        <v>1</v>
      </c>
      <c r="M113" s="2">
        <v>8</v>
      </c>
      <c r="N113" s="2">
        <v>22</v>
      </c>
      <c r="O113" s="2">
        <v>31</v>
      </c>
      <c r="P113" s="2"/>
      <c r="Q113" s="2">
        <v>44</v>
      </c>
      <c r="R113" s="2"/>
      <c r="S113" s="2" t="s">
        <v>50</v>
      </c>
      <c r="T113" s="2" t="s">
        <v>54</v>
      </c>
      <c r="U113" s="2" t="s">
        <v>54</v>
      </c>
      <c r="V113" s="2" t="s">
        <v>70</v>
      </c>
      <c r="W113" s="2" t="s">
        <v>79</v>
      </c>
      <c r="X113" s="2" t="b">
        <v>0</v>
      </c>
      <c r="Y113" s="2" t="s">
        <v>64</v>
      </c>
      <c r="Z113" s="2" t="s">
        <v>64</v>
      </c>
      <c r="AA113" s="2" t="s">
        <v>147</v>
      </c>
      <c r="AB113" s="2" t="s">
        <v>45</v>
      </c>
      <c r="AC113" s="2"/>
      <c r="AD113" s="2" t="s">
        <v>66</v>
      </c>
      <c r="AE113" s="2" t="s">
        <v>54</v>
      </c>
      <c r="AF113" s="2" t="s">
        <v>54</v>
      </c>
      <c r="AG113" s="2"/>
      <c r="AH113" s="2" t="s">
        <v>54</v>
      </c>
      <c r="AI113" s="2" t="s">
        <v>54</v>
      </c>
      <c r="AJ113" s="2"/>
      <c r="AK113" s="2">
        <v>0</v>
      </c>
      <c r="AL113" s="2" t="s">
        <v>57</v>
      </c>
      <c r="AM113" s="2" t="s">
        <v>57</v>
      </c>
      <c r="AN113" s="2" t="s">
        <v>54</v>
      </c>
      <c r="AO113" s="2">
        <v>0</v>
      </c>
      <c r="AP113" s="2" t="s">
        <v>54</v>
      </c>
      <c r="AQ113" s="2" t="s">
        <v>165</v>
      </c>
    </row>
    <row r="114" spans="1:43" x14ac:dyDescent="0.2">
      <c r="A114" s="2">
        <v>108</v>
      </c>
      <c r="B114" s="2" t="s">
        <v>163</v>
      </c>
      <c r="C114" s="2" t="s">
        <v>44</v>
      </c>
      <c r="D114" s="2" t="s">
        <v>45</v>
      </c>
      <c r="E114" s="2"/>
      <c r="F114" s="2">
        <v>18435479</v>
      </c>
      <c r="G114" s="2" t="s">
        <v>46</v>
      </c>
      <c r="H114" s="3">
        <v>22757</v>
      </c>
      <c r="I114" s="2"/>
      <c r="J114" s="2" t="s">
        <v>257</v>
      </c>
      <c r="K114" s="2" t="s">
        <v>61</v>
      </c>
      <c r="L114" s="2"/>
      <c r="M114" s="2"/>
      <c r="N114" s="2"/>
      <c r="O114" s="2"/>
      <c r="P114" s="2"/>
      <c r="Q114" s="2">
        <v>70</v>
      </c>
      <c r="R114" s="2">
        <v>40</v>
      </c>
      <c r="S114" s="2" t="s">
        <v>50</v>
      </c>
      <c r="T114" s="2" t="s">
        <v>54</v>
      </c>
      <c r="U114" s="2" t="s">
        <v>54</v>
      </c>
      <c r="V114" s="2" t="s">
        <v>63</v>
      </c>
      <c r="W114" s="2" t="s">
        <v>52</v>
      </c>
      <c r="X114" s="2" t="b">
        <v>1</v>
      </c>
      <c r="Y114" s="2" t="s">
        <v>53</v>
      </c>
      <c r="Z114" s="2" t="s">
        <v>53</v>
      </c>
      <c r="AA114" s="2" t="s">
        <v>147</v>
      </c>
      <c r="AB114" s="2" t="s">
        <v>45</v>
      </c>
      <c r="AC114" s="2" t="s">
        <v>65</v>
      </c>
      <c r="AD114" s="2" t="s">
        <v>66</v>
      </c>
      <c r="AE114" s="2" t="s">
        <v>54</v>
      </c>
      <c r="AF114" s="2" t="s">
        <v>55</v>
      </c>
      <c r="AG114" s="2" t="s">
        <v>258</v>
      </c>
      <c r="AH114" s="2" t="s">
        <v>55</v>
      </c>
      <c r="AI114" s="2" t="s">
        <v>55</v>
      </c>
      <c r="AJ114" s="2"/>
      <c r="AK114" s="2">
        <v>4</v>
      </c>
      <c r="AL114" s="2" t="s">
        <v>82</v>
      </c>
      <c r="AM114" s="2" t="s">
        <v>57</v>
      </c>
      <c r="AN114" s="2" t="s">
        <v>55</v>
      </c>
      <c r="AO114" s="2">
        <v>0</v>
      </c>
      <c r="AP114" s="2" t="s">
        <v>88</v>
      </c>
      <c r="AQ114" s="2" t="s">
        <v>165</v>
      </c>
    </row>
    <row r="115" spans="1:43" x14ac:dyDescent="0.2">
      <c r="A115" s="2">
        <v>107</v>
      </c>
      <c r="B115" s="2" t="s">
        <v>43</v>
      </c>
      <c r="C115" s="2" t="s">
        <v>44</v>
      </c>
      <c r="D115" s="2" t="s">
        <v>45</v>
      </c>
      <c r="E115" s="2"/>
      <c r="F115" s="2">
        <v>45593936</v>
      </c>
      <c r="G115" s="2" t="s">
        <v>59</v>
      </c>
      <c r="H115" s="3">
        <v>22494</v>
      </c>
      <c r="I115" s="2"/>
      <c r="J115" s="2" t="s">
        <v>259</v>
      </c>
      <c r="K115" s="2" t="s">
        <v>49</v>
      </c>
      <c r="L115" s="2"/>
      <c r="M115" s="2"/>
      <c r="N115" s="2">
        <v>38</v>
      </c>
      <c r="O115" s="2">
        <v>30</v>
      </c>
      <c r="P115" s="2"/>
      <c r="Q115" s="2"/>
      <c r="R115" s="2">
        <v>40</v>
      </c>
      <c r="S115" s="2" t="s">
        <v>76</v>
      </c>
      <c r="T115" s="2"/>
      <c r="U115" s="2"/>
      <c r="V115" s="2"/>
      <c r="W115" s="2" t="s">
        <v>85</v>
      </c>
      <c r="X115" s="2" t="b">
        <v>0</v>
      </c>
      <c r="Y115" s="2" t="s">
        <v>64</v>
      </c>
      <c r="Z115" s="2"/>
      <c r="AA115" s="2" t="s">
        <v>124</v>
      </c>
      <c r="AB115" s="2" t="s">
        <v>45</v>
      </c>
      <c r="AC115" s="2" t="s">
        <v>80</v>
      </c>
      <c r="AD115" s="2" t="s">
        <v>81</v>
      </c>
      <c r="AE115" s="2" t="s">
        <v>54</v>
      </c>
      <c r="AF115" s="2" t="s">
        <v>54</v>
      </c>
      <c r="AG115" s="2"/>
      <c r="AH115" s="2" t="s">
        <v>54</v>
      </c>
      <c r="AI115" s="2" t="s">
        <v>54</v>
      </c>
      <c r="AJ115" s="2"/>
      <c r="AK115" s="2">
        <v>0</v>
      </c>
      <c r="AL115" s="2" t="s">
        <v>82</v>
      </c>
      <c r="AM115" s="2" t="s">
        <v>72</v>
      </c>
      <c r="AN115" s="2" t="s">
        <v>54</v>
      </c>
      <c r="AO115" s="2">
        <v>0</v>
      </c>
      <c r="AP115" s="2" t="s">
        <v>54</v>
      </c>
      <c r="AQ115" s="2" t="s">
        <v>58</v>
      </c>
    </row>
    <row r="116" spans="1:43" x14ac:dyDescent="0.2">
      <c r="A116" s="2">
        <v>106</v>
      </c>
      <c r="B116" s="2" t="s">
        <v>43</v>
      </c>
      <c r="C116" s="2" t="s">
        <v>44</v>
      </c>
      <c r="D116" s="2" t="s">
        <v>45</v>
      </c>
      <c r="E116" s="2"/>
      <c r="F116" s="2">
        <v>46711594</v>
      </c>
      <c r="G116" s="2" t="s">
        <v>46</v>
      </c>
      <c r="H116" s="3">
        <v>20735</v>
      </c>
      <c r="I116" s="2"/>
      <c r="J116" s="2" t="s">
        <v>260</v>
      </c>
      <c r="K116" s="2"/>
      <c r="L116" s="2">
        <v>12</v>
      </c>
      <c r="M116" s="2">
        <v>6</v>
      </c>
      <c r="N116" s="2">
        <v>55</v>
      </c>
      <c r="O116" s="2"/>
      <c r="P116" s="2">
        <v>7</v>
      </c>
      <c r="Q116" s="2"/>
      <c r="R116" s="2"/>
      <c r="S116" s="2" t="s">
        <v>76</v>
      </c>
      <c r="T116" s="2" t="s">
        <v>54</v>
      </c>
      <c r="U116" s="2" t="s">
        <v>54</v>
      </c>
      <c r="V116" s="2" t="s">
        <v>261</v>
      </c>
      <c r="W116" s="2" t="s">
        <v>52</v>
      </c>
      <c r="X116" s="2" t="b">
        <v>0</v>
      </c>
      <c r="Y116" s="2" t="s">
        <v>64</v>
      </c>
      <c r="Z116" s="2" t="s">
        <v>64</v>
      </c>
      <c r="AA116" s="2" t="s">
        <v>124</v>
      </c>
      <c r="AB116" s="2" t="s">
        <v>45</v>
      </c>
      <c r="AC116" s="2" t="s">
        <v>80</v>
      </c>
      <c r="AD116" s="2" t="s">
        <v>54</v>
      </c>
      <c r="AE116" s="2" t="s">
        <v>54</v>
      </c>
      <c r="AF116" s="2"/>
      <c r="AG116" s="2"/>
      <c r="AH116" s="2" t="s">
        <v>54</v>
      </c>
      <c r="AI116" s="2" t="s">
        <v>54</v>
      </c>
      <c r="AJ116" s="2"/>
      <c r="AK116" s="2">
        <v>5</v>
      </c>
      <c r="AL116" s="2" t="s">
        <v>74</v>
      </c>
      <c r="AM116" s="2" t="s">
        <v>195</v>
      </c>
      <c r="AN116" s="2" t="s">
        <v>54</v>
      </c>
      <c r="AO116" s="2">
        <v>0</v>
      </c>
      <c r="AP116" s="2" t="s">
        <v>54</v>
      </c>
      <c r="AQ116" s="2" t="s">
        <v>58</v>
      </c>
    </row>
    <row r="117" spans="1:43" x14ac:dyDescent="0.2">
      <c r="A117" s="2">
        <v>105</v>
      </c>
      <c r="B117" s="2" t="s">
        <v>163</v>
      </c>
      <c r="C117" s="2" t="s">
        <v>44</v>
      </c>
      <c r="D117" s="2" t="s">
        <v>45</v>
      </c>
      <c r="E117" s="2"/>
      <c r="F117" s="2">
        <v>17665852</v>
      </c>
      <c r="G117" s="2" t="s">
        <v>59</v>
      </c>
      <c r="H117" s="3">
        <v>29890</v>
      </c>
      <c r="I117" s="2"/>
      <c r="J117" s="2" t="s">
        <v>262</v>
      </c>
      <c r="K117" s="2" t="s">
        <v>61</v>
      </c>
      <c r="L117" s="2"/>
      <c r="M117" s="2"/>
      <c r="N117" s="2"/>
      <c r="O117" s="2"/>
      <c r="P117" s="2"/>
      <c r="Q117" s="2">
        <v>35</v>
      </c>
      <c r="R117" s="2"/>
      <c r="S117" s="2" t="s">
        <v>50</v>
      </c>
      <c r="T117" s="2" t="s">
        <v>54</v>
      </c>
      <c r="U117" s="2" t="s">
        <v>54</v>
      </c>
      <c r="V117" s="2" t="s">
        <v>63</v>
      </c>
      <c r="W117" s="2" t="s">
        <v>160</v>
      </c>
      <c r="X117" s="2" t="b">
        <v>0</v>
      </c>
      <c r="Y117" s="2" t="s">
        <v>64</v>
      </c>
      <c r="Z117" s="2" t="s">
        <v>64</v>
      </c>
      <c r="AA117" s="2" t="s">
        <v>147</v>
      </c>
      <c r="AB117" s="2" t="s">
        <v>45</v>
      </c>
      <c r="AC117" s="2"/>
      <c r="AD117" s="2" t="s">
        <v>66</v>
      </c>
      <c r="AE117" s="2" t="s">
        <v>54</v>
      </c>
      <c r="AF117" s="2" t="s">
        <v>88</v>
      </c>
      <c r="AG117" s="2" t="s">
        <v>149</v>
      </c>
      <c r="AH117" s="2" t="s">
        <v>54</v>
      </c>
      <c r="AI117" s="2" t="s">
        <v>54</v>
      </c>
      <c r="AJ117" s="2"/>
      <c r="AK117" s="2">
        <v>9</v>
      </c>
      <c r="AL117" s="2" t="s">
        <v>74</v>
      </c>
      <c r="AM117" s="2" t="s">
        <v>57</v>
      </c>
      <c r="AN117" s="2" t="s">
        <v>54</v>
      </c>
      <c r="AO117" s="2">
        <v>0</v>
      </c>
      <c r="AP117" s="2" t="s">
        <v>54</v>
      </c>
      <c r="AQ117" s="2" t="s">
        <v>165</v>
      </c>
    </row>
    <row r="118" spans="1:43" x14ac:dyDescent="0.2">
      <c r="A118" s="2">
        <v>104</v>
      </c>
      <c r="B118" s="2" t="s">
        <v>163</v>
      </c>
      <c r="C118" s="2" t="s">
        <v>44</v>
      </c>
      <c r="D118" s="2" t="s">
        <v>45</v>
      </c>
      <c r="E118" s="2"/>
      <c r="F118" s="2">
        <v>17430141</v>
      </c>
      <c r="G118" s="2" t="s">
        <v>59</v>
      </c>
      <c r="H118" s="3">
        <v>22625</v>
      </c>
      <c r="I118" s="2" t="s">
        <v>263</v>
      </c>
      <c r="J118" s="2" t="s">
        <v>264</v>
      </c>
      <c r="K118" s="2" t="s">
        <v>49</v>
      </c>
      <c r="L118" s="2">
        <v>6</v>
      </c>
      <c r="M118" s="2">
        <v>9</v>
      </c>
      <c r="N118" s="2"/>
      <c r="O118" s="2"/>
      <c r="P118" s="2"/>
      <c r="Q118" s="2">
        <v>34</v>
      </c>
      <c r="R118" s="2"/>
      <c r="S118" s="2" t="s">
        <v>76</v>
      </c>
      <c r="T118" s="2" t="s">
        <v>54</v>
      </c>
      <c r="U118" s="2" t="s">
        <v>54</v>
      </c>
      <c r="V118" s="2" t="s">
        <v>63</v>
      </c>
      <c r="W118" s="2" t="s">
        <v>87</v>
      </c>
      <c r="X118" s="2" t="b">
        <v>0</v>
      </c>
      <c r="Y118" s="2" t="s">
        <v>64</v>
      </c>
      <c r="Z118" s="2" t="s">
        <v>64</v>
      </c>
      <c r="AA118" s="2" t="s">
        <v>147</v>
      </c>
      <c r="AB118" s="2" t="s">
        <v>45</v>
      </c>
      <c r="AC118" s="2" t="s">
        <v>80</v>
      </c>
      <c r="AD118" s="2" t="s">
        <v>66</v>
      </c>
      <c r="AE118" s="2" t="s">
        <v>54</v>
      </c>
      <c r="AF118" s="2" t="s">
        <v>88</v>
      </c>
      <c r="AG118" s="2" t="s">
        <v>149</v>
      </c>
      <c r="AH118" s="2" t="s">
        <v>54</v>
      </c>
      <c r="AI118" s="2" t="s">
        <v>54</v>
      </c>
      <c r="AJ118" s="2"/>
      <c r="AK118" s="2">
        <v>3</v>
      </c>
      <c r="AL118" s="2" t="s">
        <v>82</v>
      </c>
      <c r="AM118" s="2" t="s">
        <v>57</v>
      </c>
      <c r="AN118" s="2" t="s">
        <v>54</v>
      </c>
      <c r="AO118" s="2">
        <v>0</v>
      </c>
      <c r="AP118" s="2" t="s">
        <v>54</v>
      </c>
      <c r="AQ118" s="2" t="s">
        <v>165</v>
      </c>
    </row>
    <row r="119" spans="1:43" x14ac:dyDescent="0.2">
      <c r="A119" s="2">
        <v>103</v>
      </c>
      <c r="B119" s="2" t="s">
        <v>163</v>
      </c>
      <c r="C119" s="2" t="s">
        <v>44</v>
      </c>
      <c r="D119" s="2" t="s">
        <v>45</v>
      </c>
      <c r="E119" s="2"/>
      <c r="F119" s="2">
        <v>16979031</v>
      </c>
      <c r="G119" s="2" t="s">
        <v>46</v>
      </c>
      <c r="H119" s="3">
        <v>24335</v>
      </c>
      <c r="I119" s="2" t="s">
        <v>265</v>
      </c>
      <c r="J119" s="2" t="s">
        <v>266</v>
      </c>
      <c r="K119" s="2" t="s">
        <v>49</v>
      </c>
      <c r="L119" s="2"/>
      <c r="M119" s="2"/>
      <c r="N119" s="2"/>
      <c r="O119" s="2"/>
      <c r="P119" s="2"/>
      <c r="Q119" s="2">
        <v>18</v>
      </c>
      <c r="R119" s="2">
        <v>50</v>
      </c>
      <c r="S119" s="2" t="s">
        <v>76</v>
      </c>
      <c r="T119" s="2" t="s">
        <v>54</v>
      </c>
      <c r="U119" s="2" t="s">
        <v>55</v>
      </c>
      <c r="V119" s="2" t="s">
        <v>70</v>
      </c>
      <c r="W119" s="2" t="s">
        <v>87</v>
      </c>
      <c r="X119" s="2" t="b">
        <v>1</v>
      </c>
      <c r="Y119" s="2" t="s">
        <v>64</v>
      </c>
      <c r="Z119" s="2" t="s">
        <v>53</v>
      </c>
      <c r="AA119" s="2" t="s">
        <v>124</v>
      </c>
      <c r="AB119" s="2" t="s">
        <v>45</v>
      </c>
      <c r="AC119" s="2" t="s">
        <v>80</v>
      </c>
      <c r="AD119" s="2" t="s">
        <v>66</v>
      </c>
      <c r="AE119" s="2" t="s">
        <v>54</v>
      </c>
      <c r="AF119" s="2" t="s">
        <v>54</v>
      </c>
      <c r="AG119" s="2"/>
      <c r="AH119" s="2" t="s">
        <v>54</v>
      </c>
      <c r="AI119" s="2" t="s">
        <v>54</v>
      </c>
      <c r="AJ119" s="2"/>
      <c r="AK119" s="2">
        <v>3</v>
      </c>
      <c r="AL119" s="2" t="s">
        <v>131</v>
      </c>
      <c r="AM119" s="2" t="s">
        <v>57</v>
      </c>
      <c r="AN119" s="2" t="s">
        <v>55</v>
      </c>
      <c r="AO119" s="2">
        <v>0</v>
      </c>
      <c r="AP119" s="2" t="s">
        <v>55</v>
      </c>
      <c r="AQ119" s="2" t="s">
        <v>165</v>
      </c>
    </row>
    <row r="120" spans="1:43" x14ac:dyDescent="0.2">
      <c r="A120" s="2">
        <v>102</v>
      </c>
      <c r="B120" s="2" t="s">
        <v>163</v>
      </c>
      <c r="C120" s="2" t="s">
        <v>44</v>
      </c>
      <c r="D120" s="2" t="s">
        <v>45</v>
      </c>
      <c r="E120" s="2"/>
      <c r="F120" s="2">
        <v>16877342</v>
      </c>
      <c r="G120" s="2" t="s">
        <v>46</v>
      </c>
      <c r="H120" s="3">
        <v>10211</v>
      </c>
      <c r="I120" s="2" t="s">
        <v>267</v>
      </c>
      <c r="J120" s="2" t="s">
        <v>268</v>
      </c>
      <c r="K120" s="2" t="s">
        <v>167</v>
      </c>
      <c r="L120" s="2"/>
      <c r="M120" s="2"/>
      <c r="N120" s="2"/>
      <c r="O120" s="2"/>
      <c r="P120" s="2">
        <v>13</v>
      </c>
      <c r="Q120" s="2">
        <v>20</v>
      </c>
      <c r="R120" s="2">
        <v>70</v>
      </c>
      <c r="S120" s="2" t="s">
        <v>50</v>
      </c>
      <c r="T120" s="2" t="s">
        <v>54</v>
      </c>
      <c r="U120" s="2" t="s">
        <v>54</v>
      </c>
      <c r="V120" s="2" t="s">
        <v>261</v>
      </c>
      <c r="W120" s="2" t="s">
        <v>79</v>
      </c>
      <c r="X120" s="2" t="b">
        <v>0</v>
      </c>
      <c r="Y120" s="2" t="s">
        <v>64</v>
      </c>
      <c r="Z120" s="2" t="s">
        <v>64</v>
      </c>
      <c r="AA120" s="2" t="s">
        <v>147</v>
      </c>
      <c r="AB120" s="2" t="s">
        <v>45</v>
      </c>
      <c r="AC120" s="2"/>
      <c r="AD120" s="2" t="s">
        <v>54</v>
      </c>
      <c r="AE120" s="2" t="s">
        <v>54</v>
      </c>
      <c r="AF120" s="2" t="s">
        <v>54</v>
      </c>
      <c r="AG120" s="2"/>
      <c r="AH120" s="2" t="s">
        <v>54</v>
      </c>
      <c r="AI120" s="2" t="s">
        <v>54</v>
      </c>
      <c r="AJ120" s="2"/>
      <c r="AK120" s="2">
        <v>0</v>
      </c>
      <c r="AL120" s="2" t="s">
        <v>57</v>
      </c>
      <c r="AM120" s="2" t="s">
        <v>57</v>
      </c>
      <c r="AN120" s="2" t="s">
        <v>54</v>
      </c>
      <c r="AO120" s="2">
        <v>0</v>
      </c>
      <c r="AP120" s="2" t="s">
        <v>54</v>
      </c>
      <c r="AQ120" s="2" t="s">
        <v>165</v>
      </c>
    </row>
    <row r="121" spans="1:43" x14ac:dyDescent="0.2">
      <c r="A121" s="2">
        <v>101</v>
      </c>
      <c r="B121" s="2" t="s">
        <v>163</v>
      </c>
      <c r="C121" s="2" t="s">
        <v>44</v>
      </c>
      <c r="D121" s="2" t="s">
        <v>45</v>
      </c>
      <c r="E121" s="2"/>
      <c r="F121" s="2">
        <v>16877342</v>
      </c>
      <c r="G121" s="2" t="s">
        <v>46</v>
      </c>
      <c r="H121" s="3">
        <v>10211</v>
      </c>
      <c r="I121" s="2" t="s">
        <v>267</v>
      </c>
      <c r="J121" s="2" t="s">
        <v>268</v>
      </c>
      <c r="K121" s="2" t="s">
        <v>167</v>
      </c>
      <c r="L121" s="2"/>
      <c r="M121" s="2"/>
      <c r="N121" s="2"/>
      <c r="O121" s="2"/>
      <c r="P121" s="2">
        <v>13</v>
      </c>
      <c r="Q121" s="2">
        <v>20</v>
      </c>
      <c r="R121" s="2">
        <v>70</v>
      </c>
      <c r="S121" s="2" t="s">
        <v>50</v>
      </c>
      <c r="T121" s="2" t="s">
        <v>54</v>
      </c>
      <c r="U121" s="2" t="s">
        <v>54</v>
      </c>
      <c r="V121" s="2" t="s">
        <v>261</v>
      </c>
      <c r="W121" s="2" t="s">
        <v>79</v>
      </c>
      <c r="X121" s="2" t="b">
        <v>0</v>
      </c>
      <c r="Y121" s="2" t="s">
        <v>64</v>
      </c>
      <c r="Z121" s="2" t="s">
        <v>64</v>
      </c>
      <c r="AA121" s="2" t="s">
        <v>147</v>
      </c>
      <c r="AB121" s="2" t="s">
        <v>45</v>
      </c>
      <c r="AC121" s="2"/>
      <c r="AD121" s="2" t="s">
        <v>54</v>
      </c>
      <c r="AE121" s="2" t="s">
        <v>54</v>
      </c>
      <c r="AF121" s="2" t="s">
        <v>54</v>
      </c>
      <c r="AG121" s="2"/>
      <c r="AH121" s="2" t="s">
        <v>54</v>
      </c>
      <c r="AI121" s="2" t="s">
        <v>54</v>
      </c>
      <c r="AJ121" s="2"/>
      <c r="AK121" s="2">
        <v>0</v>
      </c>
      <c r="AL121" s="2" t="s">
        <v>57</v>
      </c>
      <c r="AM121" s="2" t="s">
        <v>57</v>
      </c>
      <c r="AN121" s="2" t="s">
        <v>54</v>
      </c>
      <c r="AO121" s="2">
        <v>0</v>
      </c>
      <c r="AP121" s="2" t="s">
        <v>54</v>
      </c>
      <c r="AQ121" s="2" t="s">
        <v>165</v>
      </c>
    </row>
    <row r="122" spans="1:43" x14ac:dyDescent="0.2">
      <c r="A122" s="2">
        <v>100</v>
      </c>
      <c r="B122" s="2" t="s">
        <v>163</v>
      </c>
      <c r="C122" s="2" t="s">
        <v>44</v>
      </c>
      <c r="D122" s="2" t="s">
        <v>45</v>
      </c>
      <c r="E122" s="2"/>
      <c r="F122" s="2">
        <v>16780116</v>
      </c>
      <c r="G122" s="2" t="s">
        <v>46</v>
      </c>
      <c r="H122" s="3">
        <v>20146</v>
      </c>
      <c r="I122" s="2"/>
      <c r="J122" s="2" t="s">
        <v>269</v>
      </c>
      <c r="K122" s="2" t="s">
        <v>49</v>
      </c>
      <c r="L122" s="2"/>
      <c r="M122" s="2"/>
      <c r="N122" s="2"/>
      <c r="O122" s="2"/>
      <c r="P122" s="2"/>
      <c r="Q122" s="2">
        <v>60</v>
      </c>
      <c r="R122" s="2">
        <v>60</v>
      </c>
      <c r="S122" s="2" t="s">
        <v>50</v>
      </c>
      <c r="T122" s="2" t="s">
        <v>54</v>
      </c>
      <c r="U122" s="2" t="s">
        <v>54</v>
      </c>
      <c r="V122" s="2" t="s">
        <v>70</v>
      </c>
      <c r="W122" s="2" t="s">
        <v>52</v>
      </c>
      <c r="X122" s="2" t="b">
        <v>1</v>
      </c>
      <c r="Y122" s="2" t="s">
        <v>53</v>
      </c>
      <c r="Z122" s="2" t="s">
        <v>64</v>
      </c>
      <c r="AA122" s="2" t="s">
        <v>147</v>
      </c>
      <c r="AB122" s="2" t="s">
        <v>45</v>
      </c>
      <c r="AC122" s="2"/>
      <c r="AD122" s="2" t="s">
        <v>66</v>
      </c>
      <c r="AE122" s="2" t="s">
        <v>54</v>
      </c>
      <c r="AF122" s="2" t="s">
        <v>54</v>
      </c>
      <c r="AG122" s="2"/>
      <c r="AH122" s="2" t="s">
        <v>54</v>
      </c>
      <c r="AI122" s="2" t="s">
        <v>55</v>
      </c>
      <c r="AJ122" s="2"/>
      <c r="AK122" s="2">
        <v>4</v>
      </c>
      <c r="AL122" s="2" t="s">
        <v>142</v>
      </c>
      <c r="AM122" s="2" t="s">
        <v>57</v>
      </c>
      <c r="AN122" s="2" t="s">
        <v>55</v>
      </c>
      <c r="AO122" s="2">
        <v>0</v>
      </c>
      <c r="AP122" s="2" t="s">
        <v>54</v>
      </c>
      <c r="AQ122" s="2" t="s">
        <v>165</v>
      </c>
    </row>
    <row r="123" spans="1:43" x14ac:dyDescent="0.2">
      <c r="A123" s="2">
        <v>99</v>
      </c>
      <c r="B123" s="2" t="s">
        <v>163</v>
      </c>
      <c r="C123" s="2" t="s">
        <v>44</v>
      </c>
      <c r="D123" s="2" t="s">
        <v>45</v>
      </c>
      <c r="E123" s="2"/>
      <c r="F123" s="2">
        <v>16467805</v>
      </c>
      <c r="G123" s="2" t="s">
        <v>46</v>
      </c>
      <c r="H123" s="3">
        <v>11690</v>
      </c>
      <c r="I123" s="2"/>
      <c r="J123" s="2" t="s">
        <v>270</v>
      </c>
      <c r="K123" s="2" t="s">
        <v>49</v>
      </c>
      <c r="L123" s="2"/>
      <c r="M123" s="2"/>
      <c r="N123" s="2"/>
      <c r="O123" s="2"/>
      <c r="P123" s="2"/>
      <c r="Q123" s="2">
        <v>40</v>
      </c>
      <c r="R123" s="2">
        <v>50</v>
      </c>
      <c r="S123" s="2" t="s">
        <v>50</v>
      </c>
      <c r="T123" s="2" t="s">
        <v>54</v>
      </c>
      <c r="U123" s="2" t="s">
        <v>54</v>
      </c>
      <c r="V123" s="2" t="s">
        <v>51</v>
      </c>
      <c r="W123" s="2" t="s">
        <v>52</v>
      </c>
      <c r="X123" s="2" t="b">
        <v>0</v>
      </c>
      <c r="Y123" s="2" t="s">
        <v>64</v>
      </c>
      <c r="Z123" s="2" t="s">
        <v>64</v>
      </c>
      <c r="AA123" s="2" t="s">
        <v>147</v>
      </c>
      <c r="AB123" s="2" t="s">
        <v>45</v>
      </c>
      <c r="AC123" s="2" t="s">
        <v>65</v>
      </c>
      <c r="AD123" s="2" t="s">
        <v>66</v>
      </c>
      <c r="AE123" s="2" t="s">
        <v>54</v>
      </c>
      <c r="AF123" s="2" t="s">
        <v>54</v>
      </c>
      <c r="AG123" s="2"/>
      <c r="AH123" s="2" t="s">
        <v>55</v>
      </c>
      <c r="AI123" s="2" t="s">
        <v>54</v>
      </c>
      <c r="AJ123" s="2"/>
      <c r="AK123" s="2">
        <v>4</v>
      </c>
      <c r="AL123" s="2" t="s">
        <v>131</v>
      </c>
      <c r="AM123" s="2" t="s">
        <v>57</v>
      </c>
      <c r="AN123" s="2" t="s">
        <v>54</v>
      </c>
      <c r="AO123" s="2">
        <v>0</v>
      </c>
      <c r="AP123" s="2" t="s">
        <v>54</v>
      </c>
      <c r="AQ123" s="2" t="s">
        <v>165</v>
      </c>
    </row>
    <row r="124" spans="1:43" x14ac:dyDescent="0.2">
      <c r="A124" s="2">
        <v>98</v>
      </c>
      <c r="B124" s="2" t="s">
        <v>163</v>
      </c>
      <c r="C124" s="2" t="s">
        <v>44</v>
      </c>
      <c r="D124" s="2" t="s">
        <v>45</v>
      </c>
      <c r="E124" s="2"/>
      <c r="F124" s="2">
        <v>15658305</v>
      </c>
      <c r="G124" s="2" t="s">
        <v>59</v>
      </c>
      <c r="H124" s="3">
        <v>22026</v>
      </c>
      <c r="I124" s="2"/>
      <c r="J124" s="2" t="s">
        <v>271</v>
      </c>
      <c r="K124" s="2" t="s">
        <v>167</v>
      </c>
      <c r="L124" s="2"/>
      <c r="M124" s="2"/>
      <c r="N124" s="2"/>
      <c r="O124" s="2"/>
      <c r="P124" s="2">
        <v>22</v>
      </c>
      <c r="Q124" s="2">
        <v>60</v>
      </c>
      <c r="R124" s="2">
        <v>70</v>
      </c>
      <c r="S124" s="2" t="s">
        <v>159</v>
      </c>
      <c r="T124" s="2" t="s">
        <v>54</v>
      </c>
      <c r="U124" s="2" t="s">
        <v>54</v>
      </c>
      <c r="V124" s="2" t="s">
        <v>63</v>
      </c>
      <c r="W124" s="2" t="s">
        <v>85</v>
      </c>
      <c r="X124" s="2" t="b">
        <v>1</v>
      </c>
      <c r="Y124" s="2" t="s">
        <v>53</v>
      </c>
      <c r="Z124" s="2" t="s">
        <v>53</v>
      </c>
      <c r="AA124" s="2" t="s">
        <v>147</v>
      </c>
      <c r="AB124" s="2" t="s">
        <v>45</v>
      </c>
      <c r="AC124" s="2" t="s">
        <v>65</v>
      </c>
      <c r="AD124" s="2" t="s">
        <v>66</v>
      </c>
      <c r="AE124" s="2" t="s">
        <v>54</v>
      </c>
      <c r="AF124" s="2" t="s">
        <v>88</v>
      </c>
      <c r="AG124" s="2" t="s">
        <v>144</v>
      </c>
      <c r="AH124" s="2" t="s">
        <v>54</v>
      </c>
      <c r="AI124" s="2" t="s">
        <v>55</v>
      </c>
      <c r="AJ124" s="2"/>
      <c r="AK124" s="2">
        <v>0</v>
      </c>
      <c r="AL124" s="2" t="s">
        <v>142</v>
      </c>
      <c r="AM124" s="2" t="s">
        <v>57</v>
      </c>
      <c r="AN124" s="2" t="s">
        <v>88</v>
      </c>
      <c r="AO124" s="2" t="s">
        <v>176</v>
      </c>
      <c r="AP124" s="2" t="s">
        <v>55</v>
      </c>
      <c r="AQ124" s="2" t="s">
        <v>165</v>
      </c>
    </row>
    <row r="125" spans="1:43" x14ac:dyDescent="0.2">
      <c r="A125" s="2">
        <v>97</v>
      </c>
      <c r="B125" s="2" t="s">
        <v>163</v>
      </c>
      <c r="C125" s="2" t="s">
        <v>44</v>
      </c>
      <c r="D125" s="2" t="s">
        <v>45</v>
      </c>
      <c r="E125" s="2"/>
      <c r="F125" s="2">
        <v>15548894</v>
      </c>
      <c r="G125" s="2" t="s">
        <v>46</v>
      </c>
      <c r="H125" s="3">
        <v>19195</v>
      </c>
      <c r="I125" s="2"/>
      <c r="J125" s="2" t="s">
        <v>272</v>
      </c>
      <c r="K125" s="2" t="s">
        <v>167</v>
      </c>
      <c r="L125" s="2"/>
      <c r="M125" s="2"/>
      <c r="N125" s="2"/>
      <c r="O125" s="2"/>
      <c r="P125" s="2">
        <v>13</v>
      </c>
      <c r="Q125" s="2">
        <v>45</v>
      </c>
      <c r="R125" s="2">
        <v>70</v>
      </c>
      <c r="S125" s="2" t="s">
        <v>50</v>
      </c>
      <c r="T125" s="2" t="s">
        <v>54</v>
      </c>
      <c r="U125" s="2" t="s">
        <v>54</v>
      </c>
      <c r="V125" s="2" t="s">
        <v>78</v>
      </c>
      <c r="W125" s="2" t="s">
        <v>52</v>
      </c>
      <c r="X125" s="2" t="b">
        <v>0</v>
      </c>
      <c r="Y125" s="2" t="s">
        <v>64</v>
      </c>
      <c r="Z125" s="2" t="s">
        <v>64</v>
      </c>
      <c r="AA125" s="2" t="s">
        <v>124</v>
      </c>
      <c r="AB125" s="2" t="s">
        <v>45</v>
      </c>
      <c r="AC125" s="2"/>
      <c r="AD125" s="2" t="s">
        <v>81</v>
      </c>
      <c r="AE125" s="2" t="s">
        <v>54</v>
      </c>
      <c r="AF125" s="2" t="s">
        <v>54</v>
      </c>
      <c r="AG125" s="2"/>
      <c r="AH125" s="2" t="s">
        <v>54</v>
      </c>
      <c r="AI125" s="2" t="s">
        <v>54</v>
      </c>
      <c r="AJ125" s="2"/>
      <c r="AK125" s="2">
        <v>5</v>
      </c>
      <c r="AL125" s="2" t="s">
        <v>82</v>
      </c>
      <c r="AM125" s="2" t="s">
        <v>126</v>
      </c>
      <c r="AN125" s="2" t="s">
        <v>54</v>
      </c>
      <c r="AO125" s="2">
        <v>0</v>
      </c>
      <c r="AP125" s="2" t="s">
        <v>54</v>
      </c>
      <c r="AQ125" s="2" t="s">
        <v>165</v>
      </c>
    </row>
    <row r="126" spans="1:43" x14ac:dyDescent="0.2">
      <c r="A126" s="2">
        <v>96</v>
      </c>
      <c r="B126" s="2" t="s">
        <v>163</v>
      </c>
      <c r="C126" s="2" t="s">
        <v>44</v>
      </c>
      <c r="D126" s="2" t="s">
        <v>45</v>
      </c>
      <c r="E126" s="2"/>
      <c r="F126" s="2">
        <v>15548894</v>
      </c>
      <c r="G126" s="2" t="s">
        <v>46</v>
      </c>
      <c r="H126" s="3">
        <v>19195</v>
      </c>
      <c r="I126" s="2"/>
      <c r="J126" s="2" t="s">
        <v>272</v>
      </c>
      <c r="K126" s="2" t="s">
        <v>167</v>
      </c>
      <c r="L126" s="2"/>
      <c r="M126" s="2"/>
      <c r="N126" s="2"/>
      <c r="O126" s="2"/>
      <c r="P126" s="2">
        <v>13</v>
      </c>
      <c r="Q126" s="2">
        <v>45</v>
      </c>
      <c r="R126" s="2">
        <v>70</v>
      </c>
      <c r="S126" s="2" t="s">
        <v>50</v>
      </c>
      <c r="T126" s="2" t="s">
        <v>54</v>
      </c>
      <c r="U126" s="2" t="s">
        <v>54</v>
      </c>
      <c r="V126" s="2" t="s">
        <v>78</v>
      </c>
      <c r="W126" s="2" t="s">
        <v>52</v>
      </c>
      <c r="X126" s="2" t="b">
        <v>0</v>
      </c>
      <c r="Y126" s="2" t="s">
        <v>64</v>
      </c>
      <c r="Z126" s="2" t="s">
        <v>64</v>
      </c>
      <c r="AA126" s="2" t="s">
        <v>124</v>
      </c>
      <c r="AB126" s="2" t="s">
        <v>45</v>
      </c>
      <c r="AC126" s="2"/>
      <c r="AD126" s="2" t="s">
        <v>81</v>
      </c>
      <c r="AE126" s="2" t="s">
        <v>54</v>
      </c>
      <c r="AF126" s="2" t="s">
        <v>54</v>
      </c>
      <c r="AG126" s="2"/>
      <c r="AH126" s="2" t="s">
        <v>54</v>
      </c>
      <c r="AI126" s="2" t="s">
        <v>54</v>
      </c>
      <c r="AJ126" s="2"/>
      <c r="AK126" s="2">
        <v>5</v>
      </c>
      <c r="AL126" s="2" t="s">
        <v>82</v>
      </c>
      <c r="AM126" s="2" t="s">
        <v>126</v>
      </c>
      <c r="AN126" s="2" t="s">
        <v>54</v>
      </c>
      <c r="AO126" s="2">
        <v>0</v>
      </c>
      <c r="AP126" s="2" t="s">
        <v>54</v>
      </c>
      <c r="AQ126" s="2" t="s">
        <v>165</v>
      </c>
    </row>
    <row r="127" spans="1:43" x14ac:dyDescent="0.2">
      <c r="A127" s="2">
        <v>95</v>
      </c>
      <c r="B127" s="2" t="s">
        <v>163</v>
      </c>
      <c r="C127" s="2" t="s">
        <v>44</v>
      </c>
      <c r="D127" s="2" t="s">
        <v>45</v>
      </c>
      <c r="E127" s="2"/>
      <c r="F127" s="2">
        <v>15093719</v>
      </c>
      <c r="G127" s="2" t="s">
        <v>59</v>
      </c>
      <c r="H127" s="3">
        <v>24941</v>
      </c>
      <c r="I127" s="2"/>
      <c r="J127" s="2" t="s">
        <v>273</v>
      </c>
      <c r="K127" s="2" t="s">
        <v>49</v>
      </c>
      <c r="L127" s="2"/>
      <c r="M127" s="2"/>
      <c r="N127" s="2"/>
      <c r="O127" s="2"/>
      <c r="P127" s="2"/>
      <c r="Q127" s="2"/>
      <c r="R127" s="2">
        <v>20</v>
      </c>
      <c r="S127" s="2" t="s">
        <v>76</v>
      </c>
      <c r="T127" s="2" t="s">
        <v>54</v>
      </c>
      <c r="U127" s="2" t="s">
        <v>54</v>
      </c>
      <c r="V127" s="2" t="s">
        <v>78</v>
      </c>
      <c r="W127" s="2" t="s">
        <v>79</v>
      </c>
      <c r="X127" s="2" t="b">
        <v>0</v>
      </c>
      <c r="Y127" s="2" t="s">
        <v>64</v>
      </c>
      <c r="Z127" s="2" t="s">
        <v>64</v>
      </c>
      <c r="AA127" s="2" t="s">
        <v>147</v>
      </c>
      <c r="AB127" s="2" t="s">
        <v>45</v>
      </c>
      <c r="AC127" s="2" t="s">
        <v>80</v>
      </c>
      <c r="AD127" s="2" t="s">
        <v>81</v>
      </c>
      <c r="AE127" s="2" t="s">
        <v>54</v>
      </c>
      <c r="AF127" s="2" t="s">
        <v>54</v>
      </c>
      <c r="AG127" s="2"/>
      <c r="AH127" s="2" t="s">
        <v>54</v>
      </c>
      <c r="AI127" s="2" t="s">
        <v>54</v>
      </c>
      <c r="AJ127" s="2"/>
      <c r="AK127" s="2">
        <v>0</v>
      </c>
      <c r="AL127" s="2" t="s">
        <v>57</v>
      </c>
      <c r="AM127" s="2" t="s">
        <v>57</v>
      </c>
      <c r="AN127" s="2" t="s">
        <v>54</v>
      </c>
      <c r="AO127" s="2">
        <v>-1</v>
      </c>
      <c r="AP127" s="2" t="s">
        <v>54</v>
      </c>
      <c r="AQ127" s="2" t="s">
        <v>165</v>
      </c>
    </row>
    <row r="128" spans="1:43" x14ac:dyDescent="0.2">
      <c r="A128" s="2">
        <v>94</v>
      </c>
      <c r="B128" s="2" t="s">
        <v>163</v>
      </c>
      <c r="C128" s="2" t="s">
        <v>44</v>
      </c>
      <c r="D128" s="2" t="s">
        <v>45</v>
      </c>
      <c r="E128" s="2"/>
      <c r="F128" s="2">
        <v>14585905</v>
      </c>
      <c r="G128" s="2" t="s">
        <v>59</v>
      </c>
      <c r="H128" s="3">
        <v>23106</v>
      </c>
      <c r="I128" s="2"/>
      <c r="J128" s="2" t="s">
        <v>274</v>
      </c>
      <c r="K128" s="2" t="s">
        <v>167</v>
      </c>
      <c r="L128" s="2"/>
      <c r="M128" s="2"/>
      <c r="N128" s="2"/>
      <c r="O128" s="2"/>
      <c r="P128" s="2"/>
      <c r="Q128" s="2">
        <v>35</v>
      </c>
      <c r="R128" s="2"/>
      <c r="S128" s="2" t="s">
        <v>76</v>
      </c>
      <c r="T128" s="2" t="s">
        <v>54</v>
      </c>
      <c r="U128" s="2" t="s">
        <v>54</v>
      </c>
      <c r="V128" s="2" t="s">
        <v>70</v>
      </c>
      <c r="W128" s="2" t="s">
        <v>79</v>
      </c>
      <c r="X128" s="2" t="b">
        <v>0</v>
      </c>
      <c r="Y128" s="2" t="s">
        <v>64</v>
      </c>
      <c r="Z128" s="2" t="s">
        <v>64</v>
      </c>
      <c r="AA128" s="2" t="s">
        <v>147</v>
      </c>
      <c r="AB128" s="2" t="s">
        <v>45</v>
      </c>
      <c r="AC128" s="2" t="s">
        <v>80</v>
      </c>
      <c r="AD128" s="2" t="s">
        <v>66</v>
      </c>
      <c r="AE128" s="2" t="s">
        <v>54</v>
      </c>
      <c r="AF128" s="2" t="s">
        <v>54</v>
      </c>
      <c r="AG128" s="2"/>
      <c r="AH128" s="2" t="s">
        <v>54</v>
      </c>
      <c r="AI128" s="2" t="s">
        <v>54</v>
      </c>
      <c r="AJ128" s="2"/>
      <c r="AK128" s="2">
        <v>0</v>
      </c>
      <c r="AL128" s="2" t="s">
        <v>57</v>
      </c>
      <c r="AM128" s="2" t="s">
        <v>57</v>
      </c>
      <c r="AN128" s="2" t="s">
        <v>54</v>
      </c>
      <c r="AO128" s="2">
        <v>0</v>
      </c>
      <c r="AP128" s="2" t="s">
        <v>54</v>
      </c>
      <c r="AQ128" s="2" t="s">
        <v>165</v>
      </c>
    </row>
    <row r="129" spans="1:43" x14ac:dyDescent="0.2">
      <c r="A129" s="2">
        <v>93</v>
      </c>
      <c r="B129" s="2" t="s">
        <v>163</v>
      </c>
      <c r="C129" s="2" t="s">
        <v>44</v>
      </c>
      <c r="D129" s="2" t="s">
        <v>45</v>
      </c>
      <c r="E129" s="2"/>
      <c r="F129" s="2">
        <v>14585905</v>
      </c>
      <c r="G129" s="2" t="s">
        <v>59</v>
      </c>
      <c r="H129" s="3">
        <v>23106</v>
      </c>
      <c r="I129" s="2"/>
      <c r="J129" s="2" t="s">
        <v>274</v>
      </c>
      <c r="K129" s="2" t="s">
        <v>167</v>
      </c>
      <c r="L129" s="2"/>
      <c r="M129" s="2"/>
      <c r="N129" s="2"/>
      <c r="O129" s="2"/>
      <c r="P129" s="2"/>
      <c r="Q129" s="2">
        <v>35</v>
      </c>
      <c r="R129" s="2"/>
      <c r="S129" s="2" t="s">
        <v>76</v>
      </c>
      <c r="T129" s="2" t="s">
        <v>54</v>
      </c>
      <c r="U129" s="2" t="s">
        <v>54</v>
      </c>
      <c r="V129" s="2" t="s">
        <v>70</v>
      </c>
      <c r="W129" s="2" t="s">
        <v>79</v>
      </c>
      <c r="X129" s="2" t="b">
        <v>0</v>
      </c>
      <c r="Y129" s="2" t="s">
        <v>64</v>
      </c>
      <c r="Z129" s="2" t="s">
        <v>64</v>
      </c>
      <c r="AA129" s="2" t="s">
        <v>147</v>
      </c>
      <c r="AB129" s="2" t="s">
        <v>45</v>
      </c>
      <c r="AC129" s="2" t="s">
        <v>80</v>
      </c>
      <c r="AD129" s="2" t="s">
        <v>66</v>
      </c>
      <c r="AE129" s="2" t="s">
        <v>54</v>
      </c>
      <c r="AF129" s="2" t="s">
        <v>54</v>
      </c>
      <c r="AG129" s="2"/>
      <c r="AH129" s="2" t="s">
        <v>54</v>
      </c>
      <c r="AI129" s="2" t="s">
        <v>54</v>
      </c>
      <c r="AJ129" s="2"/>
      <c r="AK129" s="2">
        <v>0</v>
      </c>
      <c r="AL129" s="2" t="s">
        <v>57</v>
      </c>
      <c r="AM129" s="2" t="s">
        <v>57</v>
      </c>
      <c r="AN129" s="2" t="s">
        <v>54</v>
      </c>
      <c r="AO129" s="2">
        <v>0</v>
      </c>
      <c r="AP129" s="2" t="s">
        <v>54</v>
      </c>
      <c r="AQ129" s="2" t="s">
        <v>165</v>
      </c>
    </row>
    <row r="130" spans="1:43" x14ac:dyDescent="0.2">
      <c r="A130" s="2">
        <v>92</v>
      </c>
      <c r="B130" s="2" t="s">
        <v>163</v>
      </c>
      <c r="C130" s="2" t="s">
        <v>44</v>
      </c>
      <c r="D130" s="2" t="s">
        <v>45</v>
      </c>
      <c r="E130" s="2"/>
      <c r="F130" s="2">
        <v>13880687</v>
      </c>
      <c r="G130" s="2" t="s">
        <v>46</v>
      </c>
      <c r="H130" s="3">
        <v>19090</v>
      </c>
      <c r="I130" s="2" t="s">
        <v>275</v>
      </c>
      <c r="J130" s="2" t="s">
        <v>276</v>
      </c>
      <c r="K130" s="2" t="s">
        <v>167</v>
      </c>
      <c r="L130" s="2"/>
      <c r="M130" s="2"/>
      <c r="N130" s="2">
        <v>30</v>
      </c>
      <c r="O130" s="2">
        <v>30</v>
      </c>
      <c r="P130" s="2"/>
      <c r="Q130" s="2">
        <v>65</v>
      </c>
      <c r="R130" s="2">
        <v>55</v>
      </c>
      <c r="S130" s="2" t="s">
        <v>50</v>
      </c>
      <c r="T130" s="2" t="s">
        <v>54</v>
      </c>
      <c r="U130" s="2" t="s">
        <v>54</v>
      </c>
      <c r="V130" s="2" t="s">
        <v>70</v>
      </c>
      <c r="W130" s="2" t="s">
        <v>52</v>
      </c>
      <c r="X130" s="2" t="b">
        <v>0</v>
      </c>
      <c r="Y130" s="2" t="s">
        <v>64</v>
      </c>
      <c r="Z130" s="2" t="s">
        <v>64</v>
      </c>
      <c r="AA130" s="2" t="s">
        <v>147</v>
      </c>
      <c r="AB130" s="2" t="s">
        <v>45</v>
      </c>
      <c r="AC130" s="2"/>
      <c r="AD130" s="2" t="s">
        <v>66</v>
      </c>
      <c r="AE130" s="2" t="s">
        <v>54</v>
      </c>
      <c r="AF130" s="2" t="s">
        <v>54</v>
      </c>
      <c r="AG130" s="2"/>
      <c r="AH130" s="2" t="s">
        <v>54</v>
      </c>
      <c r="AI130" s="2" t="s">
        <v>54</v>
      </c>
      <c r="AJ130" s="2"/>
      <c r="AK130" s="2">
        <v>4</v>
      </c>
      <c r="AL130" s="2" t="s">
        <v>190</v>
      </c>
      <c r="AM130" s="2" t="s">
        <v>57</v>
      </c>
      <c r="AN130" s="2" t="s">
        <v>54</v>
      </c>
      <c r="AO130" s="2">
        <v>0</v>
      </c>
      <c r="AP130" s="2" t="s">
        <v>54</v>
      </c>
      <c r="AQ130" s="2" t="s">
        <v>165</v>
      </c>
    </row>
    <row r="131" spans="1:43" x14ac:dyDescent="0.2">
      <c r="A131" s="2">
        <v>91</v>
      </c>
      <c r="B131" s="2" t="s">
        <v>163</v>
      </c>
      <c r="C131" s="2" t="s">
        <v>44</v>
      </c>
      <c r="D131" s="2" t="s">
        <v>45</v>
      </c>
      <c r="E131" s="2"/>
      <c r="F131" s="2">
        <v>13376298</v>
      </c>
      <c r="G131" s="2" t="s">
        <v>46</v>
      </c>
      <c r="H131" s="3">
        <v>16952</v>
      </c>
      <c r="I131" s="2" t="s">
        <v>275</v>
      </c>
      <c r="J131" s="2" t="s">
        <v>277</v>
      </c>
      <c r="K131" s="2" t="s">
        <v>49</v>
      </c>
      <c r="L131" s="2"/>
      <c r="M131" s="2"/>
      <c r="N131" s="2"/>
      <c r="O131" s="2"/>
      <c r="P131" s="2"/>
      <c r="Q131" s="2">
        <v>40</v>
      </c>
      <c r="R131" s="2">
        <v>50</v>
      </c>
      <c r="S131" s="2"/>
      <c r="T131" s="2" t="s">
        <v>54</v>
      </c>
      <c r="U131" s="2" t="s">
        <v>54</v>
      </c>
      <c r="V131" s="2" t="s">
        <v>70</v>
      </c>
      <c r="W131" s="2" t="s">
        <v>87</v>
      </c>
      <c r="X131" s="2" t="b">
        <v>0</v>
      </c>
      <c r="Y131" s="2" t="s">
        <v>53</v>
      </c>
      <c r="Z131" s="2" t="s">
        <v>64</v>
      </c>
      <c r="AA131" s="2" t="s">
        <v>147</v>
      </c>
      <c r="AB131" s="2" t="s">
        <v>45</v>
      </c>
      <c r="AC131" s="2"/>
      <c r="AD131" s="2" t="s">
        <v>66</v>
      </c>
      <c r="AE131" s="2" t="s">
        <v>54</v>
      </c>
      <c r="AF131" s="2" t="s">
        <v>54</v>
      </c>
      <c r="AG131" s="2"/>
      <c r="AH131" s="2" t="s">
        <v>54</v>
      </c>
      <c r="AI131" s="2" t="s">
        <v>55</v>
      </c>
      <c r="AJ131" s="2"/>
      <c r="AK131" s="2">
        <v>3</v>
      </c>
      <c r="AL131" s="2" t="s">
        <v>278</v>
      </c>
      <c r="AM131" s="2" t="s">
        <v>57</v>
      </c>
      <c r="AN131" s="2" t="s">
        <v>54</v>
      </c>
      <c r="AO131" s="2">
        <v>0</v>
      </c>
      <c r="AP131" s="2" t="s">
        <v>54</v>
      </c>
      <c r="AQ131" s="2" t="s">
        <v>165</v>
      </c>
    </row>
    <row r="132" spans="1:43" x14ac:dyDescent="0.2">
      <c r="A132" s="2">
        <v>90</v>
      </c>
      <c r="B132" s="2" t="s">
        <v>163</v>
      </c>
      <c r="C132" s="2" t="s">
        <v>44</v>
      </c>
      <c r="D132" s="2" t="s">
        <v>45</v>
      </c>
      <c r="E132" s="2"/>
      <c r="F132" s="2">
        <v>13297114</v>
      </c>
      <c r="G132" s="2" t="s">
        <v>46</v>
      </c>
      <c r="H132" s="3">
        <v>20884</v>
      </c>
      <c r="I132" s="2"/>
      <c r="J132" s="2" t="s">
        <v>279</v>
      </c>
      <c r="K132" s="2" t="s">
        <v>49</v>
      </c>
      <c r="L132" s="2"/>
      <c r="M132" s="2"/>
      <c r="N132" s="2"/>
      <c r="O132" s="2"/>
      <c r="P132" s="2"/>
      <c r="Q132" s="2">
        <v>50</v>
      </c>
      <c r="R132" s="2">
        <v>80</v>
      </c>
      <c r="S132" s="2" t="s">
        <v>50</v>
      </c>
      <c r="T132" s="2" t="s">
        <v>54</v>
      </c>
      <c r="U132" s="2" t="s">
        <v>54</v>
      </c>
      <c r="V132" s="2" t="s">
        <v>51</v>
      </c>
      <c r="W132" s="2" t="s">
        <v>85</v>
      </c>
      <c r="X132" s="2" t="b">
        <v>0</v>
      </c>
      <c r="Y132" s="2" t="s">
        <v>64</v>
      </c>
      <c r="Z132" s="2" t="s">
        <v>53</v>
      </c>
      <c r="AA132" s="2" t="s">
        <v>147</v>
      </c>
      <c r="AB132" s="2" t="s">
        <v>45</v>
      </c>
      <c r="AC132" s="2"/>
      <c r="AD132" s="2" t="s">
        <v>66</v>
      </c>
      <c r="AE132" s="2" t="s">
        <v>54</v>
      </c>
      <c r="AF132" s="2" t="s">
        <v>54</v>
      </c>
      <c r="AG132" s="2"/>
      <c r="AH132" s="2" t="s">
        <v>55</v>
      </c>
      <c r="AI132" s="2" t="s">
        <v>54</v>
      </c>
      <c r="AJ132" s="2"/>
      <c r="AK132" s="2">
        <v>0</v>
      </c>
      <c r="AL132" s="2" t="s">
        <v>131</v>
      </c>
      <c r="AM132" s="2" t="s">
        <v>57</v>
      </c>
      <c r="AN132" s="2" t="s">
        <v>54</v>
      </c>
      <c r="AO132" s="2">
        <v>0</v>
      </c>
      <c r="AP132" s="2" t="s">
        <v>55</v>
      </c>
      <c r="AQ132" s="2" t="s">
        <v>165</v>
      </c>
    </row>
    <row r="133" spans="1:43" x14ac:dyDescent="0.2">
      <c r="A133" s="2">
        <v>89</v>
      </c>
      <c r="B133" s="2" t="s">
        <v>163</v>
      </c>
      <c r="C133" s="2" t="s">
        <v>44</v>
      </c>
      <c r="D133" s="2" t="s">
        <v>45</v>
      </c>
      <c r="E133" s="2"/>
      <c r="F133" s="2">
        <v>13247598</v>
      </c>
      <c r="G133" s="2" t="s">
        <v>46</v>
      </c>
      <c r="H133" s="3">
        <v>22188</v>
      </c>
      <c r="I133" s="2"/>
      <c r="J133" s="2" t="s">
        <v>280</v>
      </c>
      <c r="K133" s="2" t="s">
        <v>49</v>
      </c>
      <c r="L133" s="2"/>
      <c r="M133" s="2"/>
      <c r="N133" s="2"/>
      <c r="O133" s="2"/>
      <c r="P133" s="2">
        <v>15</v>
      </c>
      <c r="Q133" s="2">
        <v>27</v>
      </c>
      <c r="R133" s="2">
        <v>35</v>
      </c>
      <c r="S133" s="2"/>
      <c r="T133" s="2" t="s">
        <v>54</v>
      </c>
      <c r="U133" s="2" t="s">
        <v>54</v>
      </c>
      <c r="V133" s="2" t="s">
        <v>63</v>
      </c>
      <c r="W133" s="2" t="s">
        <v>87</v>
      </c>
      <c r="X133" s="2" t="b">
        <v>0</v>
      </c>
      <c r="Y133" s="2" t="s">
        <v>64</v>
      </c>
      <c r="Z133" s="2" t="s">
        <v>64</v>
      </c>
      <c r="AA133" s="2" t="s">
        <v>147</v>
      </c>
      <c r="AB133" s="2" t="s">
        <v>45</v>
      </c>
      <c r="AC133" s="2"/>
      <c r="AD133" s="2" t="s">
        <v>81</v>
      </c>
      <c r="AE133" s="2" t="s">
        <v>54</v>
      </c>
      <c r="AF133" s="2" t="s">
        <v>88</v>
      </c>
      <c r="AG133" s="2" t="s">
        <v>149</v>
      </c>
      <c r="AH133" s="2" t="s">
        <v>54</v>
      </c>
      <c r="AI133" s="2" t="s">
        <v>54</v>
      </c>
      <c r="AJ133" s="2"/>
      <c r="AK133" s="2">
        <v>3</v>
      </c>
      <c r="AL133" s="2" t="s">
        <v>82</v>
      </c>
      <c r="AM133" s="2" t="s">
        <v>57</v>
      </c>
      <c r="AN133" s="2" t="s">
        <v>54</v>
      </c>
      <c r="AO133" s="2">
        <v>0</v>
      </c>
      <c r="AP133" s="2" t="s">
        <v>54</v>
      </c>
      <c r="AQ133" s="2" t="s">
        <v>165</v>
      </c>
    </row>
    <row r="134" spans="1:43" x14ac:dyDescent="0.2">
      <c r="A134" s="2">
        <v>88</v>
      </c>
      <c r="B134" s="2" t="s">
        <v>163</v>
      </c>
      <c r="C134" s="2" t="s">
        <v>44</v>
      </c>
      <c r="D134" s="2" t="s">
        <v>45</v>
      </c>
      <c r="E134" s="2"/>
      <c r="F134" s="2">
        <v>13247598</v>
      </c>
      <c r="G134" s="2" t="s">
        <v>46</v>
      </c>
      <c r="H134" s="3">
        <v>22188</v>
      </c>
      <c r="I134" s="2"/>
      <c r="J134" s="2" t="s">
        <v>280</v>
      </c>
      <c r="K134" s="2" t="s">
        <v>49</v>
      </c>
      <c r="L134" s="2"/>
      <c r="M134" s="2"/>
      <c r="N134" s="2"/>
      <c r="O134" s="2"/>
      <c r="P134" s="2">
        <v>15</v>
      </c>
      <c r="Q134" s="2">
        <v>27</v>
      </c>
      <c r="R134" s="2">
        <v>35</v>
      </c>
      <c r="S134" s="2"/>
      <c r="T134" s="2" t="s">
        <v>54</v>
      </c>
      <c r="U134" s="2" t="s">
        <v>54</v>
      </c>
      <c r="V134" s="2" t="s">
        <v>63</v>
      </c>
      <c r="W134" s="2" t="s">
        <v>87</v>
      </c>
      <c r="X134" s="2" t="b">
        <v>0</v>
      </c>
      <c r="Y134" s="2" t="s">
        <v>64</v>
      </c>
      <c r="Z134" s="2" t="s">
        <v>64</v>
      </c>
      <c r="AA134" s="2" t="s">
        <v>147</v>
      </c>
      <c r="AB134" s="2" t="s">
        <v>45</v>
      </c>
      <c r="AC134" s="2"/>
      <c r="AD134" s="2" t="s">
        <v>81</v>
      </c>
      <c r="AE134" s="2" t="s">
        <v>54</v>
      </c>
      <c r="AF134" s="2" t="s">
        <v>88</v>
      </c>
      <c r="AG134" s="2" t="s">
        <v>149</v>
      </c>
      <c r="AH134" s="2" t="s">
        <v>54</v>
      </c>
      <c r="AI134" s="2" t="s">
        <v>54</v>
      </c>
      <c r="AJ134" s="2"/>
      <c r="AK134" s="2">
        <v>3</v>
      </c>
      <c r="AL134" s="2" t="s">
        <v>82</v>
      </c>
      <c r="AM134" s="2" t="s">
        <v>57</v>
      </c>
      <c r="AN134" s="2" t="s">
        <v>54</v>
      </c>
      <c r="AO134" s="2">
        <v>0</v>
      </c>
      <c r="AP134" s="2" t="s">
        <v>54</v>
      </c>
      <c r="AQ134" s="2" t="s">
        <v>165</v>
      </c>
    </row>
    <row r="135" spans="1:43" x14ac:dyDescent="0.2">
      <c r="A135" s="2">
        <v>87</v>
      </c>
      <c r="B135" s="2" t="s">
        <v>163</v>
      </c>
      <c r="C135" s="2" t="s">
        <v>44</v>
      </c>
      <c r="D135" s="2" t="s">
        <v>45</v>
      </c>
      <c r="E135" s="2"/>
      <c r="F135" s="2">
        <v>12673984</v>
      </c>
      <c r="G135" s="2" t="s">
        <v>46</v>
      </c>
      <c r="H135" s="3">
        <v>12004</v>
      </c>
      <c r="I135" s="2" t="s">
        <v>281</v>
      </c>
      <c r="J135" s="2" t="s">
        <v>282</v>
      </c>
      <c r="K135" s="2" t="s">
        <v>49</v>
      </c>
      <c r="L135" s="2"/>
      <c r="M135" s="2"/>
      <c r="N135" s="2"/>
      <c r="O135" s="2"/>
      <c r="P135" s="2"/>
      <c r="Q135" s="2">
        <v>50</v>
      </c>
      <c r="R135" s="2">
        <v>70</v>
      </c>
      <c r="S135" s="2" t="s">
        <v>50</v>
      </c>
      <c r="T135" s="2" t="s">
        <v>54</v>
      </c>
      <c r="U135" s="2" t="s">
        <v>54</v>
      </c>
      <c r="V135" s="2" t="s">
        <v>78</v>
      </c>
      <c r="W135" s="2" t="s">
        <v>79</v>
      </c>
      <c r="X135" s="2" t="b">
        <v>0</v>
      </c>
      <c r="Y135" s="2" t="s">
        <v>64</v>
      </c>
      <c r="Z135" s="2" t="s">
        <v>64</v>
      </c>
      <c r="AA135" s="2" t="s">
        <v>147</v>
      </c>
      <c r="AB135" s="2" t="s">
        <v>45</v>
      </c>
      <c r="AC135" s="2" t="s">
        <v>65</v>
      </c>
      <c r="AD135" s="2" t="s">
        <v>81</v>
      </c>
      <c r="AE135" s="2" t="s">
        <v>54</v>
      </c>
      <c r="AF135" s="2" t="s">
        <v>54</v>
      </c>
      <c r="AG135" s="2"/>
      <c r="AH135" s="2" t="s">
        <v>54</v>
      </c>
      <c r="AI135" s="2" t="s">
        <v>54</v>
      </c>
      <c r="AJ135" s="2"/>
      <c r="AK135" s="2">
        <v>0</v>
      </c>
      <c r="AL135" s="2" t="s">
        <v>57</v>
      </c>
      <c r="AM135" s="2" t="s">
        <v>57</v>
      </c>
      <c r="AN135" s="2" t="s">
        <v>54</v>
      </c>
      <c r="AO135" s="2">
        <v>0</v>
      </c>
      <c r="AP135" s="2" t="s">
        <v>54</v>
      </c>
      <c r="AQ135" s="2" t="s">
        <v>165</v>
      </c>
    </row>
    <row r="136" spans="1:43" x14ac:dyDescent="0.2">
      <c r="A136" s="2">
        <v>86</v>
      </c>
      <c r="B136" s="2" t="s">
        <v>163</v>
      </c>
      <c r="C136" s="2" t="s">
        <v>44</v>
      </c>
      <c r="D136" s="2" t="s">
        <v>45</v>
      </c>
      <c r="E136" s="2"/>
      <c r="F136" s="2">
        <v>12673984</v>
      </c>
      <c r="G136" s="2" t="s">
        <v>46</v>
      </c>
      <c r="H136" s="3">
        <v>12004</v>
      </c>
      <c r="I136" s="2" t="s">
        <v>281</v>
      </c>
      <c r="J136" s="2" t="s">
        <v>282</v>
      </c>
      <c r="K136" s="2" t="s">
        <v>49</v>
      </c>
      <c r="L136" s="2"/>
      <c r="M136" s="2"/>
      <c r="N136" s="2"/>
      <c r="O136" s="2"/>
      <c r="P136" s="2"/>
      <c r="Q136" s="2">
        <v>50</v>
      </c>
      <c r="R136" s="2">
        <v>70</v>
      </c>
      <c r="S136" s="2" t="s">
        <v>50</v>
      </c>
      <c r="T136" s="2" t="s">
        <v>54</v>
      </c>
      <c r="U136" s="2" t="s">
        <v>54</v>
      </c>
      <c r="V136" s="2" t="s">
        <v>78</v>
      </c>
      <c r="W136" s="2" t="s">
        <v>79</v>
      </c>
      <c r="X136" s="2" t="b">
        <v>0</v>
      </c>
      <c r="Y136" s="2" t="s">
        <v>64</v>
      </c>
      <c r="Z136" s="2" t="s">
        <v>64</v>
      </c>
      <c r="AA136" s="2" t="s">
        <v>147</v>
      </c>
      <c r="AB136" s="2" t="s">
        <v>45</v>
      </c>
      <c r="AC136" s="2" t="s">
        <v>65</v>
      </c>
      <c r="AD136" s="2" t="s">
        <v>81</v>
      </c>
      <c r="AE136" s="2" t="s">
        <v>54</v>
      </c>
      <c r="AF136" s="2" t="s">
        <v>54</v>
      </c>
      <c r="AG136" s="2"/>
      <c r="AH136" s="2" t="s">
        <v>54</v>
      </c>
      <c r="AI136" s="2" t="s">
        <v>54</v>
      </c>
      <c r="AJ136" s="2"/>
      <c r="AK136" s="2">
        <v>0</v>
      </c>
      <c r="AL136" s="2" t="s">
        <v>57</v>
      </c>
      <c r="AM136" s="2" t="s">
        <v>57</v>
      </c>
      <c r="AN136" s="2" t="s">
        <v>54</v>
      </c>
      <c r="AO136" s="2">
        <v>0</v>
      </c>
      <c r="AP136" s="2" t="s">
        <v>54</v>
      </c>
      <c r="AQ136" s="2" t="s">
        <v>165</v>
      </c>
    </row>
    <row r="137" spans="1:43" x14ac:dyDescent="0.2">
      <c r="A137" s="2">
        <v>85</v>
      </c>
      <c r="B137" s="2" t="s">
        <v>163</v>
      </c>
      <c r="C137" s="2" t="s">
        <v>44</v>
      </c>
      <c r="D137" s="2" t="s">
        <v>45</v>
      </c>
      <c r="E137" s="2"/>
      <c r="F137" s="2">
        <v>12063665</v>
      </c>
      <c r="G137" s="2" t="s">
        <v>46</v>
      </c>
      <c r="H137" s="3">
        <v>21054</v>
      </c>
      <c r="I137" s="2" t="s">
        <v>283</v>
      </c>
      <c r="J137" s="2" t="s">
        <v>284</v>
      </c>
      <c r="K137" s="2" t="s">
        <v>167</v>
      </c>
      <c r="L137" s="2">
        <v>12</v>
      </c>
      <c r="M137" s="2">
        <v>4</v>
      </c>
      <c r="N137" s="2"/>
      <c r="O137" s="2"/>
      <c r="P137" s="2">
        <v>30</v>
      </c>
      <c r="Q137" s="2">
        <v>60</v>
      </c>
      <c r="R137" s="2"/>
      <c r="S137" s="2" t="s">
        <v>50</v>
      </c>
      <c r="T137" s="2" t="s">
        <v>54</v>
      </c>
      <c r="U137" s="2" t="s">
        <v>54</v>
      </c>
      <c r="V137" s="2"/>
      <c r="W137" s="2" t="s">
        <v>85</v>
      </c>
      <c r="X137" s="2" t="b">
        <v>0</v>
      </c>
      <c r="Y137" s="2" t="s">
        <v>64</v>
      </c>
      <c r="Z137" s="2" t="s">
        <v>64</v>
      </c>
      <c r="AA137" s="2" t="s">
        <v>147</v>
      </c>
      <c r="AB137" s="2" t="s">
        <v>45</v>
      </c>
      <c r="AC137" s="2"/>
      <c r="AD137" s="2" t="s">
        <v>66</v>
      </c>
      <c r="AE137" s="2" t="s">
        <v>54</v>
      </c>
      <c r="AF137" s="2" t="s">
        <v>54</v>
      </c>
      <c r="AG137" s="2"/>
      <c r="AH137" s="2" t="s">
        <v>54</v>
      </c>
      <c r="AI137" s="2" t="s">
        <v>54</v>
      </c>
      <c r="AJ137" s="2"/>
      <c r="AK137" s="2"/>
      <c r="AL137" s="2" t="s">
        <v>131</v>
      </c>
      <c r="AM137" s="2" t="s">
        <v>57</v>
      </c>
      <c r="AN137" s="2" t="s">
        <v>54</v>
      </c>
      <c r="AO137" s="2">
        <v>0</v>
      </c>
      <c r="AP137" s="2" t="s">
        <v>54</v>
      </c>
      <c r="AQ137" s="2" t="s">
        <v>165</v>
      </c>
    </row>
    <row r="138" spans="1:43" x14ac:dyDescent="0.2">
      <c r="A138" s="2">
        <v>84</v>
      </c>
      <c r="B138" s="2" t="s">
        <v>163</v>
      </c>
      <c r="C138" s="2" t="s">
        <v>44</v>
      </c>
      <c r="D138" s="2" t="s">
        <v>45</v>
      </c>
      <c r="E138" s="2"/>
      <c r="F138" s="2">
        <v>12063665</v>
      </c>
      <c r="G138" s="2" t="s">
        <v>46</v>
      </c>
      <c r="H138" s="3">
        <v>21054</v>
      </c>
      <c r="I138" s="2" t="s">
        <v>283</v>
      </c>
      <c r="J138" s="2" t="s">
        <v>284</v>
      </c>
      <c r="K138" s="2" t="s">
        <v>167</v>
      </c>
      <c r="L138" s="2">
        <v>12</v>
      </c>
      <c r="M138" s="2">
        <v>4</v>
      </c>
      <c r="N138" s="2"/>
      <c r="O138" s="2"/>
      <c r="P138" s="2">
        <v>30</v>
      </c>
      <c r="Q138" s="2">
        <v>60</v>
      </c>
      <c r="R138" s="2"/>
      <c r="S138" s="2" t="s">
        <v>50</v>
      </c>
      <c r="T138" s="2" t="s">
        <v>54</v>
      </c>
      <c r="U138" s="2" t="s">
        <v>54</v>
      </c>
      <c r="V138" s="2"/>
      <c r="W138" s="2" t="s">
        <v>85</v>
      </c>
      <c r="X138" s="2" t="b">
        <v>0</v>
      </c>
      <c r="Y138" s="2" t="s">
        <v>64</v>
      </c>
      <c r="Z138" s="2" t="s">
        <v>64</v>
      </c>
      <c r="AA138" s="2" t="s">
        <v>147</v>
      </c>
      <c r="AB138" s="2" t="s">
        <v>45</v>
      </c>
      <c r="AC138" s="2"/>
      <c r="AD138" s="2" t="s">
        <v>66</v>
      </c>
      <c r="AE138" s="2" t="s">
        <v>54</v>
      </c>
      <c r="AF138" s="2" t="s">
        <v>54</v>
      </c>
      <c r="AG138" s="2"/>
      <c r="AH138" s="2" t="s">
        <v>54</v>
      </c>
      <c r="AI138" s="2" t="s">
        <v>54</v>
      </c>
      <c r="AJ138" s="2"/>
      <c r="AK138" s="2"/>
      <c r="AL138" s="2" t="s">
        <v>131</v>
      </c>
      <c r="AM138" s="2" t="s">
        <v>57</v>
      </c>
      <c r="AN138" s="2" t="s">
        <v>54</v>
      </c>
      <c r="AO138" s="2">
        <v>0</v>
      </c>
      <c r="AP138" s="2" t="s">
        <v>54</v>
      </c>
      <c r="AQ138" s="2" t="s">
        <v>165</v>
      </c>
    </row>
    <row r="139" spans="1:43" x14ac:dyDescent="0.2">
      <c r="A139" s="2">
        <v>83</v>
      </c>
      <c r="B139" s="2" t="s">
        <v>163</v>
      </c>
      <c r="C139" s="2" t="s">
        <v>44</v>
      </c>
      <c r="D139" s="2" t="s">
        <v>45</v>
      </c>
      <c r="E139" s="2"/>
      <c r="F139" s="2">
        <v>11961455</v>
      </c>
      <c r="G139" s="2" t="s">
        <v>59</v>
      </c>
      <c r="H139" s="3">
        <v>23113</v>
      </c>
      <c r="I139" s="2"/>
      <c r="J139" s="2" t="s">
        <v>285</v>
      </c>
      <c r="K139" s="2" t="s">
        <v>167</v>
      </c>
      <c r="L139" s="2">
        <v>3</v>
      </c>
      <c r="M139" s="2">
        <v>11</v>
      </c>
      <c r="N139" s="2"/>
      <c r="O139" s="2"/>
      <c r="P139" s="2">
        <v>60</v>
      </c>
      <c r="Q139" s="2">
        <v>68</v>
      </c>
      <c r="R139" s="2">
        <v>25</v>
      </c>
      <c r="S139" s="2"/>
      <c r="T139" s="2" t="s">
        <v>54</v>
      </c>
      <c r="U139" s="2" t="s">
        <v>54</v>
      </c>
      <c r="V139" s="2" t="s">
        <v>63</v>
      </c>
      <c r="W139" s="2" t="s">
        <v>52</v>
      </c>
      <c r="X139" s="2" t="b">
        <v>0</v>
      </c>
      <c r="Y139" s="2" t="s">
        <v>53</v>
      </c>
      <c r="Z139" s="2" t="s">
        <v>64</v>
      </c>
      <c r="AA139" s="2" t="s">
        <v>147</v>
      </c>
      <c r="AB139" s="2" t="s">
        <v>45</v>
      </c>
      <c r="AC139" s="2"/>
      <c r="AD139" s="2" t="s">
        <v>66</v>
      </c>
      <c r="AE139" s="2" t="s">
        <v>54</v>
      </c>
      <c r="AF139" s="2" t="s">
        <v>55</v>
      </c>
      <c r="AG139" s="2" t="s">
        <v>149</v>
      </c>
      <c r="AH139" s="2" t="s">
        <v>54</v>
      </c>
      <c r="AI139" s="2" t="s">
        <v>55</v>
      </c>
      <c r="AJ139" s="2"/>
      <c r="AK139" s="2">
        <v>4</v>
      </c>
      <c r="AL139" s="2" t="s">
        <v>131</v>
      </c>
      <c r="AM139" s="2" t="s">
        <v>57</v>
      </c>
      <c r="AN139" s="2" t="s">
        <v>54</v>
      </c>
      <c r="AO139" s="2">
        <v>0</v>
      </c>
      <c r="AP139" s="2" t="s">
        <v>54</v>
      </c>
      <c r="AQ139" s="2" t="s">
        <v>165</v>
      </c>
    </row>
    <row r="140" spans="1:43" x14ac:dyDescent="0.2">
      <c r="A140" s="2">
        <v>82</v>
      </c>
      <c r="B140" s="2" t="s">
        <v>163</v>
      </c>
      <c r="C140" s="2" t="s">
        <v>44</v>
      </c>
      <c r="D140" s="2" t="s">
        <v>45</v>
      </c>
      <c r="E140" s="2"/>
      <c r="F140" s="2">
        <v>11671096</v>
      </c>
      <c r="G140" s="2" t="s">
        <v>59</v>
      </c>
      <c r="H140" s="3">
        <v>19600</v>
      </c>
      <c r="I140" s="2" t="s">
        <v>286</v>
      </c>
      <c r="J140" s="2" t="s">
        <v>287</v>
      </c>
      <c r="K140" s="2" t="s">
        <v>167</v>
      </c>
      <c r="L140" s="2"/>
      <c r="M140" s="2"/>
      <c r="N140" s="2"/>
      <c r="O140" s="2"/>
      <c r="P140" s="2"/>
      <c r="Q140" s="2"/>
      <c r="R140" s="2">
        <v>0</v>
      </c>
      <c r="S140" s="2" t="s">
        <v>159</v>
      </c>
      <c r="T140" s="2" t="s">
        <v>54</v>
      </c>
      <c r="U140" s="2" t="s">
        <v>54</v>
      </c>
      <c r="V140" s="2" t="s">
        <v>78</v>
      </c>
      <c r="W140" s="2" t="s">
        <v>85</v>
      </c>
      <c r="X140" s="2" t="b">
        <v>0</v>
      </c>
      <c r="Y140" s="2" t="s">
        <v>64</v>
      </c>
      <c r="Z140" s="2" t="s">
        <v>53</v>
      </c>
      <c r="AA140" s="2" t="s">
        <v>147</v>
      </c>
      <c r="AB140" s="2" t="s">
        <v>45</v>
      </c>
      <c r="AC140" s="2" t="s">
        <v>65</v>
      </c>
      <c r="AD140" s="2" t="s">
        <v>81</v>
      </c>
      <c r="AE140" s="2" t="s">
        <v>54</v>
      </c>
      <c r="AF140" s="2" t="s">
        <v>54</v>
      </c>
      <c r="AG140" s="2"/>
      <c r="AH140" s="2" t="s">
        <v>54</v>
      </c>
      <c r="AI140" s="2" t="s">
        <v>54</v>
      </c>
      <c r="AJ140" s="2"/>
      <c r="AK140" s="2">
        <v>0</v>
      </c>
      <c r="AL140" s="2" t="s">
        <v>288</v>
      </c>
      <c r="AM140" s="2" t="s">
        <v>57</v>
      </c>
      <c r="AN140" s="2" t="s">
        <v>54</v>
      </c>
      <c r="AO140" s="2">
        <v>0</v>
      </c>
      <c r="AP140" s="2" t="s">
        <v>88</v>
      </c>
      <c r="AQ140" s="2" t="s">
        <v>165</v>
      </c>
    </row>
    <row r="141" spans="1:43" x14ac:dyDescent="0.2">
      <c r="A141" s="2">
        <v>81</v>
      </c>
      <c r="B141" s="2" t="s">
        <v>163</v>
      </c>
      <c r="C141" s="2" t="s">
        <v>44</v>
      </c>
      <c r="D141" s="2" t="s">
        <v>45</v>
      </c>
      <c r="E141" s="2"/>
      <c r="F141" s="2">
        <v>11432051</v>
      </c>
      <c r="G141" s="2" t="s">
        <v>59</v>
      </c>
      <c r="H141" s="3">
        <v>17568</v>
      </c>
      <c r="I141" s="2" t="s">
        <v>289</v>
      </c>
      <c r="J141" s="2" t="s">
        <v>290</v>
      </c>
      <c r="K141" s="2" t="s">
        <v>167</v>
      </c>
      <c r="L141" s="2"/>
      <c r="M141" s="2"/>
      <c r="N141" s="2">
        <v>20</v>
      </c>
      <c r="O141" s="2">
        <v>48</v>
      </c>
      <c r="P141" s="2">
        <v>20</v>
      </c>
      <c r="Q141" s="2">
        <v>60</v>
      </c>
      <c r="R141" s="2">
        <v>14</v>
      </c>
      <c r="S141" s="2" t="s">
        <v>76</v>
      </c>
      <c r="T141" s="2" t="s">
        <v>54</v>
      </c>
      <c r="U141" s="2" t="s">
        <v>54</v>
      </c>
      <c r="V141" s="2" t="s">
        <v>70</v>
      </c>
      <c r="W141" s="2" t="s">
        <v>136</v>
      </c>
      <c r="X141" s="2" t="b">
        <v>0</v>
      </c>
      <c r="Y141" s="2" t="s">
        <v>53</v>
      </c>
      <c r="Z141" s="2" t="s">
        <v>64</v>
      </c>
      <c r="AA141" s="2" t="s">
        <v>147</v>
      </c>
      <c r="AB141" s="2" t="s">
        <v>45</v>
      </c>
      <c r="AC141" s="2" t="s">
        <v>80</v>
      </c>
      <c r="AD141" s="2" t="s">
        <v>66</v>
      </c>
      <c r="AE141" s="2" t="s">
        <v>54</v>
      </c>
      <c r="AF141" s="2" t="s">
        <v>54</v>
      </c>
      <c r="AG141" s="2"/>
      <c r="AH141" s="2" t="s">
        <v>54</v>
      </c>
      <c r="AI141" s="2" t="s">
        <v>55</v>
      </c>
      <c r="AJ141" s="2"/>
      <c r="AK141" s="2">
        <v>1</v>
      </c>
      <c r="AL141" s="2" t="s">
        <v>194</v>
      </c>
      <c r="AM141" s="2" t="s">
        <v>57</v>
      </c>
      <c r="AN141" s="2" t="s">
        <v>54</v>
      </c>
      <c r="AO141" s="2">
        <v>0</v>
      </c>
      <c r="AP141" s="2" t="s">
        <v>54</v>
      </c>
      <c r="AQ141" s="2" t="s">
        <v>165</v>
      </c>
    </row>
    <row r="142" spans="1:43" x14ac:dyDescent="0.2">
      <c r="A142" s="2">
        <v>80</v>
      </c>
      <c r="B142" s="2" t="s">
        <v>163</v>
      </c>
      <c r="C142" s="2" t="s">
        <v>44</v>
      </c>
      <c r="D142" s="2" t="s">
        <v>45</v>
      </c>
      <c r="E142" s="2"/>
      <c r="F142" s="2">
        <v>11432051</v>
      </c>
      <c r="G142" s="2" t="s">
        <v>59</v>
      </c>
      <c r="H142" s="3">
        <v>17568</v>
      </c>
      <c r="I142" s="2" t="s">
        <v>289</v>
      </c>
      <c r="J142" s="2" t="s">
        <v>290</v>
      </c>
      <c r="K142" s="2" t="s">
        <v>167</v>
      </c>
      <c r="L142" s="2"/>
      <c r="M142" s="2"/>
      <c r="N142" s="2">
        <v>20</v>
      </c>
      <c r="O142" s="2">
        <v>48</v>
      </c>
      <c r="P142" s="2">
        <v>20</v>
      </c>
      <c r="Q142" s="2">
        <v>60</v>
      </c>
      <c r="R142" s="2">
        <v>14</v>
      </c>
      <c r="S142" s="2" t="s">
        <v>76</v>
      </c>
      <c r="T142" s="2" t="s">
        <v>54</v>
      </c>
      <c r="U142" s="2" t="s">
        <v>54</v>
      </c>
      <c r="V142" s="2" t="s">
        <v>70</v>
      </c>
      <c r="W142" s="2" t="s">
        <v>136</v>
      </c>
      <c r="X142" s="2" t="b">
        <v>0</v>
      </c>
      <c r="Y142" s="2" t="s">
        <v>53</v>
      </c>
      <c r="Z142" s="2" t="s">
        <v>64</v>
      </c>
      <c r="AA142" s="2" t="s">
        <v>147</v>
      </c>
      <c r="AB142" s="2" t="s">
        <v>45</v>
      </c>
      <c r="AC142" s="2" t="s">
        <v>80</v>
      </c>
      <c r="AD142" s="2" t="s">
        <v>66</v>
      </c>
      <c r="AE142" s="2" t="s">
        <v>54</v>
      </c>
      <c r="AF142" s="2" t="s">
        <v>54</v>
      </c>
      <c r="AG142" s="2"/>
      <c r="AH142" s="2" t="s">
        <v>54</v>
      </c>
      <c r="AI142" s="2" t="s">
        <v>55</v>
      </c>
      <c r="AJ142" s="2"/>
      <c r="AK142" s="2">
        <v>1</v>
      </c>
      <c r="AL142" s="2" t="s">
        <v>194</v>
      </c>
      <c r="AM142" s="2" t="s">
        <v>57</v>
      </c>
      <c r="AN142" s="2" t="s">
        <v>54</v>
      </c>
      <c r="AO142" s="2">
        <v>0</v>
      </c>
      <c r="AP142" s="2" t="s">
        <v>54</v>
      </c>
      <c r="AQ142" s="2" t="s">
        <v>165</v>
      </c>
    </row>
    <row r="143" spans="1:43" x14ac:dyDescent="0.2">
      <c r="A143" s="2">
        <v>79</v>
      </c>
      <c r="B143" s="2" t="s">
        <v>163</v>
      </c>
      <c r="C143" s="2" t="s">
        <v>44</v>
      </c>
      <c r="D143" s="2" t="s">
        <v>45</v>
      </c>
      <c r="E143" s="2"/>
      <c r="F143" s="2">
        <v>10527810</v>
      </c>
      <c r="G143" s="2" t="s">
        <v>59</v>
      </c>
      <c r="H143" s="3">
        <v>22538</v>
      </c>
      <c r="I143" s="2"/>
      <c r="J143" s="2" t="s">
        <v>291</v>
      </c>
      <c r="K143" s="2" t="s">
        <v>61</v>
      </c>
      <c r="L143" s="2"/>
      <c r="M143" s="2"/>
      <c r="N143" s="2"/>
      <c r="O143" s="2"/>
      <c r="P143" s="2"/>
      <c r="Q143" s="2">
        <v>35</v>
      </c>
      <c r="R143" s="2">
        <v>74</v>
      </c>
      <c r="S143" s="2" t="s">
        <v>50</v>
      </c>
      <c r="T143" s="2" t="s">
        <v>54</v>
      </c>
      <c r="U143" s="2" t="s">
        <v>54</v>
      </c>
      <c r="V143" s="2" t="s">
        <v>70</v>
      </c>
      <c r="W143" s="2" t="s">
        <v>87</v>
      </c>
      <c r="X143" s="2" t="b">
        <v>0</v>
      </c>
      <c r="Y143" s="2" t="s">
        <v>64</v>
      </c>
      <c r="Z143" s="2" t="s">
        <v>53</v>
      </c>
      <c r="AA143" s="2" t="s">
        <v>147</v>
      </c>
      <c r="AB143" s="2" t="s">
        <v>45</v>
      </c>
      <c r="AC143" s="2" t="s">
        <v>65</v>
      </c>
      <c r="AD143" s="2" t="s">
        <v>66</v>
      </c>
      <c r="AE143" s="2" t="s">
        <v>54</v>
      </c>
      <c r="AF143" s="2" t="s">
        <v>54</v>
      </c>
      <c r="AG143" s="2"/>
      <c r="AH143" s="2" t="s">
        <v>54</v>
      </c>
      <c r="AI143" s="2" t="s">
        <v>54</v>
      </c>
      <c r="AJ143" s="2"/>
      <c r="AK143" s="2">
        <v>3</v>
      </c>
      <c r="AL143" s="2" t="s">
        <v>131</v>
      </c>
      <c r="AM143" s="2" t="s">
        <v>57</v>
      </c>
      <c r="AN143" s="2" t="s">
        <v>54</v>
      </c>
      <c r="AO143" s="2">
        <v>0</v>
      </c>
      <c r="AP143" s="2" t="s">
        <v>55</v>
      </c>
      <c r="AQ143" s="2" t="s">
        <v>165</v>
      </c>
    </row>
    <row r="144" spans="1:43" x14ac:dyDescent="0.2">
      <c r="A144" s="2">
        <v>78</v>
      </c>
      <c r="B144" s="2" t="s">
        <v>163</v>
      </c>
      <c r="C144" s="2" t="s">
        <v>44</v>
      </c>
      <c r="D144" s="2" t="s">
        <v>45</v>
      </c>
      <c r="E144" s="2"/>
      <c r="F144" s="2">
        <v>10311926</v>
      </c>
      <c r="G144" s="2" t="s">
        <v>46</v>
      </c>
      <c r="H144" s="3">
        <v>26200</v>
      </c>
      <c r="I144" s="2" t="s">
        <v>292</v>
      </c>
      <c r="J144" s="2" t="s">
        <v>293</v>
      </c>
      <c r="K144" s="2" t="s">
        <v>49</v>
      </c>
      <c r="L144" s="2"/>
      <c r="M144" s="2"/>
      <c r="N144" s="2">
        <v>72</v>
      </c>
      <c r="O144" s="2">
        <v>95</v>
      </c>
      <c r="P144" s="2"/>
      <c r="Q144" s="2">
        <v>100</v>
      </c>
      <c r="R144" s="2"/>
      <c r="S144" s="2" t="s">
        <v>50</v>
      </c>
      <c r="T144" s="2" t="s">
        <v>54</v>
      </c>
      <c r="U144" s="2" t="s">
        <v>54</v>
      </c>
      <c r="V144" s="2" t="s">
        <v>70</v>
      </c>
      <c r="W144" s="2" t="s">
        <v>85</v>
      </c>
      <c r="X144" s="2" t="b">
        <v>0</v>
      </c>
      <c r="Y144" s="2" t="s">
        <v>64</v>
      </c>
      <c r="Z144" s="2" t="s">
        <v>53</v>
      </c>
      <c r="AA144" s="2" t="s">
        <v>124</v>
      </c>
      <c r="AB144" s="2" t="s">
        <v>45</v>
      </c>
      <c r="AC144" s="2" t="s">
        <v>65</v>
      </c>
      <c r="AD144" s="2" t="s">
        <v>66</v>
      </c>
      <c r="AE144" s="2" t="s">
        <v>54</v>
      </c>
      <c r="AF144" s="2" t="s">
        <v>54</v>
      </c>
      <c r="AG144" s="2"/>
      <c r="AH144" s="2"/>
      <c r="AI144" s="2" t="s">
        <v>236</v>
      </c>
      <c r="AJ144" s="2"/>
      <c r="AK144" s="2">
        <v>0</v>
      </c>
      <c r="AL144" s="2" t="s">
        <v>142</v>
      </c>
      <c r="AM144" s="2" t="s">
        <v>126</v>
      </c>
      <c r="AN144" s="2" t="s">
        <v>54</v>
      </c>
      <c r="AO144" s="2">
        <v>0</v>
      </c>
      <c r="AP144" s="2" t="s">
        <v>88</v>
      </c>
      <c r="AQ144" s="2" t="s">
        <v>165</v>
      </c>
    </row>
    <row r="145" spans="1:43" x14ac:dyDescent="0.2">
      <c r="A145" s="2">
        <v>77</v>
      </c>
      <c r="B145" s="2" t="s">
        <v>163</v>
      </c>
      <c r="C145" s="2" t="s">
        <v>44</v>
      </c>
      <c r="D145" s="2" t="s">
        <v>45</v>
      </c>
      <c r="E145" s="2"/>
      <c r="F145" s="2">
        <v>10280972</v>
      </c>
      <c r="G145" s="2" t="s">
        <v>59</v>
      </c>
      <c r="H145" s="3">
        <v>16562</v>
      </c>
      <c r="I145" s="2"/>
      <c r="J145" s="2" t="s">
        <v>294</v>
      </c>
      <c r="K145" s="2" t="s">
        <v>167</v>
      </c>
      <c r="L145" s="2">
        <v>6</v>
      </c>
      <c r="M145" s="2">
        <v>2</v>
      </c>
      <c r="N145" s="2"/>
      <c r="O145" s="2"/>
      <c r="P145" s="2"/>
      <c r="Q145" s="2">
        <v>52</v>
      </c>
      <c r="R145" s="2">
        <v>80</v>
      </c>
      <c r="S145" s="2" t="s">
        <v>50</v>
      </c>
      <c r="T145" s="2" t="s">
        <v>54</v>
      </c>
      <c r="U145" s="2" t="s">
        <v>54</v>
      </c>
      <c r="V145" s="2" t="s">
        <v>51</v>
      </c>
      <c r="W145" s="2" t="s">
        <v>52</v>
      </c>
      <c r="X145" s="2" t="b">
        <v>0</v>
      </c>
      <c r="Y145" s="2" t="s">
        <v>64</v>
      </c>
      <c r="Z145" s="2" t="s">
        <v>64</v>
      </c>
      <c r="AA145" s="2" t="s">
        <v>147</v>
      </c>
      <c r="AB145" s="2" t="s">
        <v>45</v>
      </c>
      <c r="AC145" s="2" t="s">
        <v>65</v>
      </c>
      <c r="AD145" s="2" t="s">
        <v>81</v>
      </c>
      <c r="AE145" s="2"/>
      <c r="AF145" s="2" t="s">
        <v>54</v>
      </c>
      <c r="AG145" s="2"/>
      <c r="AH145" s="2" t="s">
        <v>55</v>
      </c>
      <c r="AI145" s="2" t="s">
        <v>54</v>
      </c>
      <c r="AJ145" s="2"/>
      <c r="AK145" s="2">
        <v>4</v>
      </c>
      <c r="AL145" s="2" t="s">
        <v>96</v>
      </c>
      <c r="AM145" s="2" t="s">
        <v>57</v>
      </c>
      <c r="AN145" s="2" t="s">
        <v>54</v>
      </c>
      <c r="AO145" s="2">
        <v>0</v>
      </c>
      <c r="AP145" s="2" t="s">
        <v>54</v>
      </c>
      <c r="AQ145" s="2" t="s">
        <v>165</v>
      </c>
    </row>
    <row r="146" spans="1:43" x14ac:dyDescent="0.2">
      <c r="A146" s="2">
        <v>76</v>
      </c>
      <c r="B146" s="2" t="s">
        <v>163</v>
      </c>
      <c r="C146" s="2" t="s">
        <v>44</v>
      </c>
      <c r="D146" s="2" t="s">
        <v>45</v>
      </c>
      <c r="E146" s="2"/>
      <c r="F146" s="2">
        <v>9789181</v>
      </c>
      <c r="G146" s="2" t="s">
        <v>59</v>
      </c>
      <c r="H146" s="3">
        <v>25671</v>
      </c>
      <c r="I146" s="2" t="s">
        <v>295</v>
      </c>
      <c r="J146" s="2" t="s">
        <v>296</v>
      </c>
      <c r="K146" s="2" t="s">
        <v>49</v>
      </c>
      <c r="L146" s="2"/>
      <c r="M146" s="2"/>
      <c r="N146" s="2"/>
      <c r="O146" s="2"/>
      <c r="P146" s="2"/>
      <c r="Q146" s="2">
        <v>32</v>
      </c>
      <c r="R146" s="2">
        <v>15</v>
      </c>
      <c r="S146" s="2" t="s">
        <v>76</v>
      </c>
      <c r="T146" s="2" t="s">
        <v>54</v>
      </c>
      <c r="U146" s="2" t="s">
        <v>54</v>
      </c>
      <c r="V146" s="2" t="s">
        <v>63</v>
      </c>
      <c r="W146" s="2" t="s">
        <v>136</v>
      </c>
      <c r="X146" s="2" t="b">
        <v>0</v>
      </c>
      <c r="Y146" s="2" t="s">
        <v>53</v>
      </c>
      <c r="Z146" s="2" t="s">
        <v>64</v>
      </c>
      <c r="AA146" s="2" t="s">
        <v>147</v>
      </c>
      <c r="AB146" s="2" t="s">
        <v>45</v>
      </c>
      <c r="AC146" s="2" t="s">
        <v>80</v>
      </c>
      <c r="AD146" s="2" t="s">
        <v>66</v>
      </c>
      <c r="AE146" s="2" t="s">
        <v>54</v>
      </c>
      <c r="AF146" s="2" t="s">
        <v>88</v>
      </c>
      <c r="AG146" s="2" t="s">
        <v>149</v>
      </c>
      <c r="AH146" s="2" t="s">
        <v>54</v>
      </c>
      <c r="AI146" s="2" t="s">
        <v>55</v>
      </c>
      <c r="AJ146" s="2"/>
      <c r="AK146" s="2">
        <v>1</v>
      </c>
      <c r="AL146" s="2" t="s">
        <v>194</v>
      </c>
      <c r="AM146" s="2" t="s">
        <v>57</v>
      </c>
      <c r="AN146" s="2" t="s">
        <v>54</v>
      </c>
      <c r="AO146" s="2">
        <v>0</v>
      </c>
      <c r="AP146" s="2" t="s">
        <v>54</v>
      </c>
      <c r="AQ146" s="2" t="s">
        <v>165</v>
      </c>
    </row>
    <row r="147" spans="1:43" x14ac:dyDescent="0.2">
      <c r="A147" s="2">
        <v>75</v>
      </c>
      <c r="B147" s="2" t="s">
        <v>163</v>
      </c>
      <c r="C147" s="2" t="s">
        <v>44</v>
      </c>
      <c r="D147" s="2" t="s">
        <v>45</v>
      </c>
      <c r="E147" s="2"/>
      <c r="F147" s="2">
        <v>8634669</v>
      </c>
      <c r="G147" s="2" t="s">
        <v>46</v>
      </c>
      <c r="H147" s="3">
        <v>16084</v>
      </c>
      <c r="I147" s="2" t="s">
        <v>297</v>
      </c>
      <c r="J147" s="2" t="s">
        <v>298</v>
      </c>
      <c r="K147" s="2" t="s">
        <v>49</v>
      </c>
      <c r="L147" s="2"/>
      <c r="M147" s="2"/>
      <c r="N147" s="2"/>
      <c r="O147" s="2"/>
      <c r="P147" s="2">
        <v>7</v>
      </c>
      <c r="Q147" s="2">
        <v>28</v>
      </c>
      <c r="R147" s="2">
        <v>27</v>
      </c>
      <c r="S147" s="2" t="s">
        <v>76</v>
      </c>
      <c r="T147" s="2" t="s">
        <v>54</v>
      </c>
      <c r="U147" s="2" t="s">
        <v>54</v>
      </c>
      <c r="V147" s="2" t="s">
        <v>78</v>
      </c>
      <c r="W147" s="2" t="s">
        <v>79</v>
      </c>
      <c r="X147" s="2" t="b">
        <v>0</v>
      </c>
      <c r="Y147" s="2" t="s">
        <v>64</v>
      </c>
      <c r="Z147" s="2" t="s">
        <v>53</v>
      </c>
      <c r="AA147" s="2" t="s">
        <v>147</v>
      </c>
      <c r="AB147" s="2" t="s">
        <v>45</v>
      </c>
      <c r="AC147" s="2" t="s">
        <v>80</v>
      </c>
      <c r="AD147" s="2" t="s">
        <v>88</v>
      </c>
      <c r="AE147" s="2" t="s">
        <v>54</v>
      </c>
      <c r="AF147" s="2" t="s">
        <v>54</v>
      </c>
      <c r="AG147" s="2"/>
      <c r="AH147" s="2" t="s">
        <v>54</v>
      </c>
      <c r="AI147" s="2" t="s">
        <v>54</v>
      </c>
      <c r="AJ147" s="2"/>
      <c r="AK147" s="2">
        <v>0</v>
      </c>
      <c r="AL147" s="2" t="s">
        <v>57</v>
      </c>
      <c r="AM147" s="2" t="s">
        <v>57</v>
      </c>
      <c r="AN147" s="2" t="s">
        <v>54</v>
      </c>
      <c r="AO147" s="2">
        <v>0</v>
      </c>
      <c r="AP147" s="2" t="s">
        <v>88</v>
      </c>
      <c r="AQ147" s="2" t="s">
        <v>165</v>
      </c>
    </row>
    <row r="148" spans="1:43" x14ac:dyDescent="0.2">
      <c r="A148" s="2">
        <v>74</v>
      </c>
      <c r="B148" s="2" t="s">
        <v>163</v>
      </c>
      <c r="C148" s="2" t="s">
        <v>44</v>
      </c>
      <c r="D148" s="2" t="s">
        <v>45</v>
      </c>
      <c r="E148" s="2"/>
      <c r="F148" s="2">
        <v>8421166</v>
      </c>
      <c r="G148" s="2" t="s">
        <v>59</v>
      </c>
      <c r="H148" s="3">
        <v>17196</v>
      </c>
      <c r="I148" s="2" t="s">
        <v>299</v>
      </c>
      <c r="J148" s="2" t="s">
        <v>300</v>
      </c>
      <c r="K148" s="2" t="s">
        <v>49</v>
      </c>
      <c r="L148" s="2"/>
      <c r="M148" s="2"/>
      <c r="N148" s="2"/>
      <c r="O148" s="2"/>
      <c r="P148" s="2"/>
      <c r="Q148" s="2">
        <v>36</v>
      </c>
      <c r="R148" s="2"/>
      <c r="S148" s="2" t="s">
        <v>76</v>
      </c>
      <c r="T148" s="2" t="s">
        <v>54</v>
      </c>
      <c r="U148" s="2" t="s">
        <v>54</v>
      </c>
      <c r="V148" s="2" t="s">
        <v>78</v>
      </c>
      <c r="W148" s="2" t="s">
        <v>87</v>
      </c>
      <c r="X148" s="2" t="b">
        <v>0</v>
      </c>
      <c r="Y148" s="2" t="s">
        <v>64</v>
      </c>
      <c r="Z148" s="2" t="s">
        <v>64</v>
      </c>
      <c r="AA148" s="2" t="s">
        <v>147</v>
      </c>
      <c r="AB148" s="2" t="s">
        <v>45</v>
      </c>
      <c r="AC148" s="2" t="s">
        <v>80</v>
      </c>
      <c r="AD148" s="2" t="s">
        <v>81</v>
      </c>
      <c r="AE148" s="2" t="s">
        <v>54</v>
      </c>
      <c r="AF148" s="2" t="s">
        <v>54</v>
      </c>
      <c r="AG148" s="2"/>
      <c r="AH148" s="2" t="s">
        <v>54</v>
      </c>
      <c r="AI148" s="2" t="s">
        <v>54</v>
      </c>
      <c r="AJ148" s="2"/>
      <c r="AK148" s="2">
        <v>2</v>
      </c>
      <c r="AL148" s="2" t="s">
        <v>82</v>
      </c>
      <c r="AM148" s="2" t="s">
        <v>57</v>
      </c>
      <c r="AN148" s="2" t="s">
        <v>54</v>
      </c>
      <c r="AO148" s="2">
        <v>0</v>
      </c>
      <c r="AP148" s="2" t="s">
        <v>54</v>
      </c>
      <c r="AQ148" s="2" t="s">
        <v>165</v>
      </c>
    </row>
    <row r="149" spans="1:43" x14ac:dyDescent="0.2">
      <c r="A149" s="2">
        <v>73</v>
      </c>
      <c r="B149" s="2" t="s">
        <v>163</v>
      </c>
      <c r="C149" s="2" t="s">
        <v>44</v>
      </c>
      <c r="D149" s="2" t="s">
        <v>45</v>
      </c>
      <c r="E149" s="2"/>
      <c r="F149" s="2">
        <v>7793979</v>
      </c>
      <c r="G149" s="2" t="s">
        <v>59</v>
      </c>
      <c r="H149" s="3">
        <v>17980</v>
      </c>
      <c r="I149" s="2"/>
      <c r="J149" s="2" t="s">
        <v>301</v>
      </c>
      <c r="K149" s="2" t="s">
        <v>49</v>
      </c>
      <c r="L149" s="2"/>
      <c r="M149" s="2"/>
      <c r="N149" s="2"/>
      <c r="O149" s="2"/>
      <c r="P149" s="2"/>
      <c r="Q149" s="2">
        <v>30</v>
      </c>
      <c r="R149" s="2">
        <v>74</v>
      </c>
      <c r="S149" s="2" t="s">
        <v>62</v>
      </c>
      <c r="T149" s="2" t="s">
        <v>54</v>
      </c>
      <c r="U149" s="2" t="s">
        <v>54</v>
      </c>
      <c r="V149" s="2" t="s">
        <v>78</v>
      </c>
      <c r="W149" s="2" t="s">
        <v>85</v>
      </c>
      <c r="X149" s="2" t="b">
        <v>0</v>
      </c>
      <c r="Y149" s="2" t="s">
        <v>64</v>
      </c>
      <c r="Z149" s="2" t="s">
        <v>64</v>
      </c>
      <c r="AA149" s="2" t="s">
        <v>147</v>
      </c>
      <c r="AB149" s="2" t="s">
        <v>45</v>
      </c>
      <c r="AC149" s="2"/>
      <c r="AD149" s="2" t="s">
        <v>81</v>
      </c>
      <c r="AE149" s="2" t="s">
        <v>54</v>
      </c>
      <c r="AF149" s="2" t="s">
        <v>54</v>
      </c>
      <c r="AG149" s="2"/>
      <c r="AH149" s="2" t="s">
        <v>54</v>
      </c>
      <c r="AI149" s="2" t="s">
        <v>54</v>
      </c>
      <c r="AJ149" s="2"/>
      <c r="AK149" s="2">
        <v>0</v>
      </c>
      <c r="AL149" s="2" t="s">
        <v>131</v>
      </c>
      <c r="AM149" s="2" t="s">
        <v>57</v>
      </c>
      <c r="AN149" s="2" t="s">
        <v>54</v>
      </c>
      <c r="AO149" s="2">
        <v>0</v>
      </c>
      <c r="AP149" s="2" t="s">
        <v>54</v>
      </c>
      <c r="AQ149" s="2" t="s">
        <v>58</v>
      </c>
    </row>
    <row r="150" spans="1:43" x14ac:dyDescent="0.2">
      <c r="A150" s="2">
        <v>72</v>
      </c>
      <c r="B150" s="2" t="s">
        <v>163</v>
      </c>
      <c r="C150" s="2" t="s">
        <v>44</v>
      </c>
      <c r="D150" s="2" t="s">
        <v>45</v>
      </c>
      <c r="E150" s="2"/>
      <c r="F150" s="2">
        <v>7751092</v>
      </c>
      <c r="G150" s="2" t="s">
        <v>59</v>
      </c>
      <c r="H150" s="3">
        <v>27982</v>
      </c>
      <c r="I150" s="2" t="s">
        <v>302</v>
      </c>
      <c r="J150" s="2" t="s">
        <v>303</v>
      </c>
      <c r="K150" s="2" t="s">
        <v>61</v>
      </c>
      <c r="L150" s="2"/>
      <c r="M150" s="2"/>
      <c r="N150" s="2"/>
      <c r="O150" s="2"/>
      <c r="P150" s="2">
        <v>14</v>
      </c>
      <c r="Q150" s="2">
        <v>60</v>
      </c>
      <c r="R150" s="2">
        <v>100</v>
      </c>
      <c r="S150" s="2" t="s">
        <v>159</v>
      </c>
      <c r="T150" s="2"/>
      <c r="U150" s="2"/>
      <c r="V150" s="2" t="s">
        <v>70</v>
      </c>
      <c r="W150" s="2" t="s">
        <v>85</v>
      </c>
      <c r="X150" s="2" t="b">
        <v>1</v>
      </c>
      <c r="Y150" s="2"/>
      <c r="Z150" s="2"/>
      <c r="AA150" s="2"/>
      <c r="AB150" s="2" t="s">
        <v>45</v>
      </c>
      <c r="AC150" s="2"/>
      <c r="AD150" s="2" t="s">
        <v>66</v>
      </c>
      <c r="AE150" s="2" t="s">
        <v>54</v>
      </c>
      <c r="AF150" s="2" t="s">
        <v>54</v>
      </c>
      <c r="AG150" s="2"/>
      <c r="AH150" s="2" t="s">
        <v>236</v>
      </c>
      <c r="AI150" s="2"/>
      <c r="AJ150" s="2"/>
      <c r="AK150" s="2">
        <v>0</v>
      </c>
      <c r="AL150" s="2" t="s">
        <v>108</v>
      </c>
      <c r="AM150" s="2" t="s">
        <v>57</v>
      </c>
      <c r="AN150" s="2" t="s">
        <v>55</v>
      </c>
      <c r="AO150" s="2">
        <v>0</v>
      </c>
      <c r="AP150" s="2" t="s">
        <v>54</v>
      </c>
      <c r="AQ150" s="2" t="s">
        <v>58</v>
      </c>
    </row>
    <row r="151" spans="1:43" x14ac:dyDescent="0.2">
      <c r="A151" s="2">
        <v>71</v>
      </c>
      <c r="B151" s="2" t="s">
        <v>163</v>
      </c>
      <c r="C151" s="2" t="s">
        <v>44</v>
      </c>
      <c r="D151" s="2" t="s">
        <v>45</v>
      </c>
      <c r="E151" s="2"/>
      <c r="F151" s="2">
        <v>6957518</v>
      </c>
      <c r="G151" s="2" t="s">
        <v>46</v>
      </c>
      <c r="H151" s="3">
        <v>17677</v>
      </c>
      <c r="I151" s="2"/>
      <c r="J151" s="2" t="s">
        <v>304</v>
      </c>
      <c r="K151" s="2" t="s">
        <v>167</v>
      </c>
      <c r="L151" s="2"/>
      <c r="M151" s="2"/>
      <c r="N151" s="2"/>
      <c r="O151" s="2"/>
      <c r="P151" s="2"/>
      <c r="Q151" s="2">
        <v>78</v>
      </c>
      <c r="R151" s="2">
        <v>40</v>
      </c>
      <c r="S151" s="2" t="s">
        <v>76</v>
      </c>
      <c r="T151" s="2" t="s">
        <v>54</v>
      </c>
      <c r="U151" s="2" t="s">
        <v>54</v>
      </c>
      <c r="V151" s="2" t="s">
        <v>70</v>
      </c>
      <c r="W151" s="2" t="s">
        <v>85</v>
      </c>
      <c r="X151" s="2" t="b">
        <v>0</v>
      </c>
      <c r="Y151" s="2" t="s">
        <v>64</v>
      </c>
      <c r="Z151" s="2" t="s">
        <v>64</v>
      </c>
      <c r="AA151" s="2" t="s">
        <v>147</v>
      </c>
      <c r="AB151" s="2" t="s">
        <v>45</v>
      </c>
      <c r="AC151" s="2" t="s">
        <v>80</v>
      </c>
      <c r="AD151" s="2" t="s">
        <v>66</v>
      </c>
      <c r="AE151" s="2" t="s">
        <v>54</v>
      </c>
      <c r="AF151" s="2" t="s">
        <v>54</v>
      </c>
      <c r="AG151" s="2"/>
      <c r="AH151" s="2" t="s">
        <v>54</v>
      </c>
      <c r="AI151" s="2" t="s">
        <v>236</v>
      </c>
      <c r="AJ151" s="2"/>
      <c r="AK151" s="2">
        <v>0</v>
      </c>
      <c r="AL151" s="2" t="s">
        <v>131</v>
      </c>
      <c r="AM151" s="2" t="s">
        <v>57</v>
      </c>
      <c r="AN151" s="2" t="s">
        <v>54</v>
      </c>
      <c r="AO151" s="2">
        <v>0</v>
      </c>
      <c r="AP151" s="2" t="s">
        <v>54</v>
      </c>
      <c r="AQ151" s="2" t="s">
        <v>165</v>
      </c>
    </row>
    <row r="152" spans="1:43" x14ac:dyDescent="0.2">
      <c r="A152" s="2">
        <v>70</v>
      </c>
      <c r="B152" s="2" t="s">
        <v>163</v>
      </c>
      <c r="C152" s="2" t="s">
        <v>44</v>
      </c>
      <c r="D152" s="2" t="s">
        <v>45</v>
      </c>
      <c r="E152" s="2"/>
      <c r="F152" s="2">
        <v>6926562</v>
      </c>
      <c r="G152" s="2" t="s">
        <v>46</v>
      </c>
      <c r="H152" s="3">
        <v>24527</v>
      </c>
      <c r="I152" s="2" t="s">
        <v>305</v>
      </c>
      <c r="J152" s="2" t="s">
        <v>306</v>
      </c>
      <c r="K152" s="2" t="s">
        <v>167</v>
      </c>
      <c r="L152" s="2"/>
      <c r="M152" s="2"/>
      <c r="N152" s="2"/>
      <c r="O152" s="2"/>
      <c r="P152" s="2">
        <v>21</v>
      </c>
      <c r="Q152" s="2">
        <v>60</v>
      </c>
      <c r="R152" s="2">
        <v>65</v>
      </c>
      <c r="S152" s="2" t="s">
        <v>50</v>
      </c>
      <c r="T152" s="2" t="s">
        <v>54</v>
      </c>
      <c r="U152" s="2" t="s">
        <v>54</v>
      </c>
      <c r="V152" s="2" t="s">
        <v>63</v>
      </c>
      <c r="W152" s="2" t="s">
        <v>52</v>
      </c>
      <c r="X152" s="2" t="b">
        <v>0</v>
      </c>
      <c r="Y152" s="2" t="s">
        <v>53</v>
      </c>
      <c r="Z152" s="2" t="s">
        <v>64</v>
      </c>
      <c r="AA152" s="2" t="s">
        <v>147</v>
      </c>
      <c r="AB152" s="2" t="s">
        <v>45</v>
      </c>
      <c r="AC152" s="2"/>
      <c r="AD152" s="2" t="s">
        <v>66</v>
      </c>
      <c r="AE152" s="2" t="s">
        <v>54</v>
      </c>
      <c r="AF152" s="2" t="s">
        <v>88</v>
      </c>
      <c r="AG152" s="2" t="s">
        <v>180</v>
      </c>
      <c r="AH152" s="2" t="s">
        <v>54</v>
      </c>
      <c r="AI152" s="2" t="s">
        <v>55</v>
      </c>
      <c r="AJ152" s="2">
        <v>5</v>
      </c>
      <c r="AK152" s="2">
        <v>4</v>
      </c>
      <c r="AL152" s="2" t="s">
        <v>131</v>
      </c>
      <c r="AM152" s="2" t="s">
        <v>57</v>
      </c>
      <c r="AN152" s="2" t="s">
        <v>54</v>
      </c>
      <c r="AO152" s="2">
        <v>0</v>
      </c>
      <c r="AP152" s="2" t="s">
        <v>54</v>
      </c>
      <c r="AQ152" s="2" t="s">
        <v>165</v>
      </c>
    </row>
    <row r="153" spans="1:43" x14ac:dyDescent="0.2">
      <c r="A153" s="2">
        <v>69</v>
      </c>
      <c r="B153" s="2" t="s">
        <v>163</v>
      </c>
      <c r="C153" s="2" t="s">
        <v>44</v>
      </c>
      <c r="D153" s="2" t="s">
        <v>45</v>
      </c>
      <c r="E153" s="2"/>
      <c r="F153" s="2">
        <v>6926562</v>
      </c>
      <c r="G153" s="2" t="s">
        <v>46</v>
      </c>
      <c r="H153" s="3">
        <v>24527</v>
      </c>
      <c r="I153" s="2" t="s">
        <v>307</v>
      </c>
      <c r="J153" s="2" t="s">
        <v>306</v>
      </c>
      <c r="K153" s="2" t="s">
        <v>167</v>
      </c>
      <c r="L153" s="2"/>
      <c r="M153" s="2"/>
      <c r="N153" s="2"/>
      <c r="O153" s="2"/>
      <c r="P153" s="2">
        <v>21</v>
      </c>
      <c r="Q153" s="2">
        <v>60</v>
      </c>
      <c r="R153" s="2">
        <v>65</v>
      </c>
      <c r="S153" s="2" t="s">
        <v>50</v>
      </c>
      <c r="T153" s="2"/>
      <c r="U153" s="2"/>
      <c r="V153" s="2" t="s">
        <v>63</v>
      </c>
      <c r="W153" s="2" t="s">
        <v>85</v>
      </c>
      <c r="X153" s="2" t="b">
        <v>0</v>
      </c>
      <c r="Y153" s="2" t="s">
        <v>53</v>
      </c>
      <c r="Z153" s="2"/>
      <c r="AA153" s="2"/>
      <c r="AB153" s="2" t="s">
        <v>45</v>
      </c>
      <c r="AC153" s="2"/>
      <c r="AD153" s="2" t="s">
        <v>66</v>
      </c>
      <c r="AE153" s="2" t="s">
        <v>54</v>
      </c>
      <c r="AF153" s="2" t="s">
        <v>88</v>
      </c>
      <c r="AG153" s="2" t="s">
        <v>180</v>
      </c>
      <c r="AH153" s="2"/>
      <c r="AI153" s="2" t="s">
        <v>55</v>
      </c>
      <c r="AJ153" s="2">
        <v>5</v>
      </c>
      <c r="AK153" s="2">
        <v>0</v>
      </c>
      <c r="AL153" s="2" t="s">
        <v>131</v>
      </c>
      <c r="AM153" s="2" t="s">
        <v>57</v>
      </c>
      <c r="AN153" s="2" t="s">
        <v>54</v>
      </c>
      <c r="AO153" s="2">
        <v>0</v>
      </c>
      <c r="AP153" s="2" t="s">
        <v>54</v>
      </c>
      <c r="AQ153" s="2" t="s">
        <v>58</v>
      </c>
    </row>
    <row r="154" spans="1:43" x14ac:dyDescent="0.2">
      <c r="A154" s="2">
        <v>68</v>
      </c>
      <c r="B154" s="2" t="s">
        <v>163</v>
      </c>
      <c r="C154" s="2" t="s">
        <v>44</v>
      </c>
      <c r="D154" s="2" t="s">
        <v>45</v>
      </c>
      <c r="E154" s="2"/>
      <c r="F154" s="2">
        <v>6740252</v>
      </c>
      <c r="G154" s="2" t="s">
        <v>46</v>
      </c>
      <c r="H154" s="3">
        <v>11318</v>
      </c>
      <c r="I154" s="2" t="s">
        <v>275</v>
      </c>
      <c r="J154" s="2" t="s">
        <v>308</v>
      </c>
      <c r="K154" s="2" t="s">
        <v>167</v>
      </c>
      <c r="L154" s="2">
        <v>9</v>
      </c>
      <c r="M154" s="2">
        <v>12</v>
      </c>
      <c r="N154" s="2"/>
      <c r="O154" s="2"/>
      <c r="P154" s="2"/>
      <c r="Q154" s="2"/>
      <c r="R154" s="2"/>
      <c r="S154" s="2" t="s">
        <v>62</v>
      </c>
      <c r="T154" s="2" t="s">
        <v>54</v>
      </c>
      <c r="U154" s="2" t="s">
        <v>54</v>
      </c>
      <c r="V154" s="2" t="s">
        <v>70</v>
      </c>
      <c r="W154" s="2" t="s">
        <v>136</v>
      </c>
      <c r="X154" s="2" t="b">
        <v>0</v>
      </c>
      <c r="Y154" s="2" t="s">
        <v>64</v>
      </c>
      <c r="Z154" s="2" t="s">
        <v>64</v>
      </c>
      <c r="AA154" s="2" t="s">
        <v>147</v>
      </c>
      <c r="AB154" s="2" t="s">
        <v>45</v>
      </c>
      <c r="AC154" s="2"/>
      <c r="AD154" s="2" t="s">
        <v>66</v>
      </c>
      <c r="AE154" s="2" t="s">
        <v>54</v>
      </c>
      <c r="AF154" s="2" t="s">
        <v>54</v>
      </c>
      <c r="AG154" s="2"/>
      <c r="AH154" s="2" t="s">
        <v>54</v>
      </c>
      <c r="AI154" s="2" t="s">
        <v>54</v>
      </c>
      <c r="AJ154" s="2"/>
      <c r="AK154" s="2">
        <v>1</v>
      </c>
      <c r="AL154" s="2" t="s">
        <v>82</v>
      </c>
      <c r="AM154" s="2" t="s">
        <v>57</v>
      </c>
      <c r="AN154" s="2" t="s">
        <v>54</v>
      </c>
      <c r="AO154" s="2">
        <v>0</v>
      </c>
      <c r="AP154" s="2" t="s">
        <v>54</v>
      </c>
      <c r="AQ154" s="2" t="s">
        <v>165</v>
      </c>
    </row>
    <row r="155" spans="1:43" x14ac:dyDescent="0.2">
      <c r="A155" s="2">
        <v>67</v>
      </c>
      <c r="B155" s="2" t="s">
        <v>163</v>
      </c>
      <c r="C155" s="2" t="s">
        <v>44</v>
      </c>
      <c r="D155" s="2" t="s">
        <v>45</v>
      </c>
      <c r="E155" s="2"/>
      <c r="F155" s="2">
        <v>6740252</v>
      </c>
      <c r="G155" s="2" t="s">
        <v>46</v>
      </c>
      <c r="H155" s="3">
        <v>11318</v>
      </c>
      <c r="I155" s="2" t="s">
        <v>275</v>
      </c>
      <c r="J155" s="2" t="s">
        <v>308</v>
      </c>
      <c r="K155" s="2" t="s">
        <v>167</v>
      </c>
      <c r="L155" s="2">
        <v>9</v>
      </c>
      <c r="M155" s="2">
        <v>12</v>
      </c>
      <c r="N155" s="2"/>
      <c r="O155" s="2"/>
      <c r="P155" s="2"/>
      <c r="Q155" s="2"/>
      <c r="R155" s="2"/>
      <c r="S155" s="2" t="s">
        <v>62</v>
      </c>
      <c r="T155" s="2" t="s">
        <v>54</v>
      </c>
      <c r="U155" s="2" t="s">
        <v>54</v>
      </c>
      <c r="V155" s="2" t="s">
        <v>70</v>
      </c>
      <c r="W155" s="2" t="s">
        <v>136</v>
      </c>
      <c r="X155" s="2" t="b">
        <v>0</v>
      </c>
      <c r="Y155" s="2" t="s">
        <v>64</v>
      </c>
      <c r="Z155" s="2" t="s">
        <v>64</v>
      </c>
      <c r="AA155" s="2" t="s">
        <v>147</v>
      </c>
      <c r="AB155" s="2" t="s">
        <v>45</v>
      </c>
      <c r="AC155" s="2"/>
      <c r="AD155" s="2" t="s">
        <v>66</v>
      </c>
      <c r="AE155" s="2" t="s">
        <v>54</v>
      </c>
      <c r="AF155" s="2" t="s">
        <v>54</v>
      </c>
      <c r="AG155" s="2"/>
      <c r="AH155" s="2" t="s">
        <v>54</v>
      </c>
      <c r="AI155" s="2" t="s">
        <v>54</v>
      </c>
      <c r="AJ155" s="2"/>
      <c r="AK155" s="2">
        <v>1</v>
      </c>
      <c r="AL155" s="2" t="s">
        <v>82</v>
      </c>
      <c r="AM155" s="2" t="s">
        <v>57</v>
      </c>
      <c r="AN155" s="2" t="s">
        <v>54</v>
      </c>
      <c r="AO155" s="2">
        <v>0</v>
      </c>
      <c r="AP155" s="2" t="s">
        <v>54</v>
      </c>
      <c r="AQ155" s="2" t="s">
        <v>165</v>
      </c>
    </row>
    <row r="156" spans="1:43" x14ac:dyDescent="0.2">
      <c r="A156" s="2">
        <v>66</v>
      </c>
      <c r="B156" s="2" t="s">
        <v>163</v>
      </c>
      <c r="C156" s="2" t="s">
        <v>44</v>
      </c>
      <c r="D156" s="2" t="s">
        <v>45</v>
      </c>
      <c r="E156" s="2"/>
      <c r="F156" s="2">
        <v>4848149</v>
      </c>
      <c r="G156" s="2" t="s">
        <v>46</v>
      </c>
      <c r="H156" s="3">
        <v>23417</v>
      </c>
      <c r="I156" s="2"/>
      <c r="J156" s="2" t="s">
        <v>309</v>
      </c>
      <c r="K156" s="2" t="s">
        <v>61</v>
      </c>
      <c r="L156" s="2"/>
      <c r="M156" s="2"/>
      <c r="N156" s="2"/>
      <c r="O156" s="2"/>
      <c r="P156" s="2"/>
      <c r="Q156" s="2">
        <v>55</v>
      </c>
      <c r="R156" s="2">
        <v>45</v>
      </c>
      <c r="S156" s="2" t="s">
        <v>50</v>
      </c>
      <c r="T156" s="2" t="s">
        <v>54</v>
      </c>
      <c r="U156" s="2" t="s">
        <v>54</v>
      </c>
      <c r="V156" s="2" t="s">
        <v>51</v>
      </c>
      <c r="W156" s="2" t="s">
        <v>52</v>
      </c>
      <c r="X156" s="2" t="b">
        <v>0</v>
      </c>
      <c r="Y156" s="2" t="s">
        <v>53</v>
      </c>
      <c r="Z156" s="2" t="s">
        <v>64</v>
      </c>
      <c r="AA156" s="2" t="s">
        <v>147</v>
      </c>
      <c r="AB156" s="2" t="s">
        <v>45</v>
      </c>
      <c r="AC156" s="2" t="s">
        <v>65</v>
      </c>
      <c r="AD156" s="2" t="s">
        <v>66</v>
      </c>
      <c r="AE156" s="2" t="s">
        <v>54</v>
      </c>
      <c r="AF156" s="2" t="s">
        <v>54</v>
      </c>
      <c r="AG156" s="2"/>
      <c r="AH156" s="2" t="s">
        <v>55</v>
      </c>
      <c r="AI156" s="2" t="s">
        <v>55</v>
      </c>
      <c r="AJ156" s="2"/>
      <c r="AK156" s="2">
        <v>4</v>
      </c>
      <c r="AL156" s="2" t="s">
        <v>131</v>
      </c>
      <c r="AM156" s="2" t="s">
        <v>57</v>
      </c>
      <c r="AN156" s="2" t="s">
        <v>54</v>
      </c>
      <c r="AO156" s="2">
        <v>0</v>
      </c>
      <c r="AP156" s="2" t="s">
        <v>54</v>
      </c>
      <c r="AQ156" s="2" t="s">
        <v>165</v>
      </c>
    </row>
    <row r="157" spans="1:43" x14ac:dyDescent="0.2">
      <c r="A157" s="2">
        <v>65</v>
      </c>
      <c r="B157" s="2" t="s">
        <v>163</v>
      </c>
      <c r="C157" s="2" t="s">
        <v>44</v>
      </c>
      <c r="D157" s="2" t="s">
        <v>45</v>
      </c>
      <c r="E157" s="2"/>
      <c r="F157" s="2">
        <v>4848149</v>
      </c>
      <c r="G157" s="2" t="s">
        <v>46</v>
      </c>
      <c r="H157" s="3">
        <v>23417</v>
      </c>
      <c r="I157" s="2"/>
      <c r="J157" s="2" t="s">
        <v>309</v>
      </c>
      <c r="K157" s="2" t="s">
        <v>61</v>
      </c>
      <c r="L157" s="2"/>
      <c r="M157" s="2"/>
      <c r="N157" s="2"/>
      <c r="O157" s="2"/>
      <c r="P157" s="2"/>
      <c r="Q157" s="2">
        <v>55</v>
      </c>
      <c r="R157" s="2">
        <v>45</v>
      </c>
      <c r="S157" s="2" t="s">
        <v>50</v>
      </c>
      <c r="T157" s="2" t="s">
        <v>54</v>
      </c>
      <c r="U157" s="2" t="s">
        <v>54</v>
      </c>
      <c r="V157" s="2" t="s">
        <v>51</v>
      </c>
      <c r="W157" s="2" t="s">
        <v>52</v>
      </c>
      <c r="X157" s="2" t="b">
        <v>0</v>
      </c>
      <c r="Y157" s="2" t="s">
        <v>53</v>
      </c>
      <c r="Z157" s="2" t="s">
        <v>64</v>
      </c>
      <c r="AA157" s="2" t="s">
        <v>147</v>
      </c>
      <c r="AB157" s="2" t="s">
        <v>45</v>
      </c>
      <c r="AC157" s="2" t="s">
        <v>65</v>
      </c>
      <c r="AD157" s="2" t="s">
        <v>66</v>
      </c>
      <c r="AE157" s="2" t="s">
        <v>54</v>
      </c>
      <c r="AF157" s="2" t="s">
        <v>54</v>
      </c>
      <c r="AG157" s="2"/>
      <c r="AH157" s="2" t="s">
        <v>55</v>
      </c>
      <c r="AI157" s="2" t="s">
        <v>55</v>
      </c>
      <c r="AJ157" s="2"/>
      <c r="AK157" s="2">
        <v>4</v>
      </c>
      <c r="AL157" s="2" t="s">
        <v>131</v>
      </c>
      <c r="AM157" s="2" t="s">
        <v>57</v>
      </c>
      <c r="AN157" s="2" t="s">
        <v>54</v>
      </c>
      <c r="AO157" s="2">
        <v>0</v>
      </c>
      <c r="AP157" s="2" t="s">
        <v>54</v>
      </c>
      <c r="AQ157" s="2" t="s">
        <v>165</v>
      </c>
    </row>
    <row r="158" spans="1:43" x14ac:dyDescent="0.2">
      <c r="A158" s="2">
        <v>64</v>
      </c>
      <c r="B158" s="2" t="s">
        <v>163</v>
      </c>
      <c r="C158" s="2" t="s">
        <v>44</v>
      </c>
      <c r="D158" s="2" t="s">
        <v>45</v>
      </c>
      <c r="E158" s="2"/>
      <c r="F158" s="2">
        <v>4511846</v>
      </c>
      <c r="G158" s="2" t="s">
        <v>59</v>
      </c>
      <c r="H158" s="3">
        <v>17814</v>
      </c>
      <c r="I158" s="2"/>
      <c r="J158" s="2" t="s">
        <v>310</v>
      </c>
      <c r="K158" s="2" t="s">
        <v>49</v>
      </c>
      <c r="L158" s="2">
        <v>1</v>
      </c>
      <c r="M158" s="2">
        <v>4</v>
      </c>
      <c r="N158" s="2"/>
      <c r="O158" s="2"/>
      <c r="P158" s="2">
        <v>12</v>
      </c>
      <c r="Q158" s="2">
        <v>90</v>
      </c>
      <c r="R158" s="2">
        <v>70</v>
      </c>
      <c r="S158" s="2" t="s">
        <v>50</v>
      </c>
      <c r="T158" s="2" t="s">
        <v>54</v>
      </c>
      <c r="U158" s="2" t="s">
        <v>54</v>
      </c>
      <c r="V158" s="2" t="s">
        <v>70</v>
      </c>
      <c r="W158" s="2" t="s">
        <v>52</v>
      </c>
      <c r="X158" s="2" t="b">
        <v>0</v>
      </c>
      <c r="Y158" s="2" t="s">
        <v>53</v>
      </c>
      <c r="Z158" s="2" t="s">
        <v>64</v>
      </c>
      <c r="AA158" s="2" t="s">
        <v>147</v>
      </c>
      <c r="AB158" s="2" t="s">
        <v>45</v>
      </c>
      <c r="AC158" s="2"/>
      <c r="AD158" s="2" t="s">
        <v>66</v>
      </c>
      <c r="AE158" s="2" t="s">
        <v>54</v>
      </c>
      <c r="AF158" s="2" t="s">
        <v>54</v>
      </c>
      <c r="AG158" s="2"/>
      <c r="AH158" s="2" t="s">
        <v>54</v>
      </c>
      <c r="AI158" s="2" t="s">
        <v>55</v>
      </c>
      <c r="AJ158" s="2"/>
      <c r="AK158" s="2">
        <v>4</v>
      </c>
      <c r="AL158" s="2" t="s">
        <v>131</v>
      </c>
      <c r="AM158" s="2" t="s">
        <v>57</v>
      </c>
      <c r="AN158" s="2" t="s">
        <v>54</v>
      </c>
      <c r="AO158" s="2">
        <v>0</v>
      </c>
      <c r="AP158" s="2" t="s">
        <v>54</v>
      </c>
      <c r="AQ158" s="2" t="s">
        <v>165</v>
      </c>
    </row>
    <row r="159" spans="1:43" x14ac:dyDescent="0.2">
      <c r="A159" s="2">
        <v>63</v>
      </c>
      <c r="B159" s="2" t="s">
        <v>163</v>
      </c>
      <c r="C159" s="2" t="s">
        <v>44</v>
      </c>
      <c r="D159" s="2" t="s">
        <v>45</v>
      </c>
      <c r="E159" s="2"/>
      <c r="F159" s="2">
        <v>4504643</v>
      </c>
      <c r="G159" s="2" t="s">
        <v>46</v>
      </c>
      <c r="H159" s="3">
        <v>16428</v>
      </c>
      <c r="I159" s="2" t="s">
        <v>311</v>
      </c>
      <c r="J159" s="2" t="s">
        <v>312</v>
      </c>
      <c r="K159" s="2" t="s">
        <v>167</v>
      </c>
      <c r="L159" s="2">
        <v>1</v>
      </c>
      <c r="M159" s="2">
        <v>4</v>
      </c>
      <c r="N159" s="2"/>
      <c r="O159" s="2"/>
      <c r="P159" s="2">
        <v>12</v>
      </c>
      <c r="Q159" s="2">
        <v>35</v>
      </c>
      <c r="R159" s="2">
        <v>30</v>
      </c>
      <c r="S159" s="2" t="s">
        <v>50</v>
      </c>
      <c r="T159" s="2" t="s">
        <v>54</v>
      </c>
      <c r="U159" s="2" t="s">
        <v>54</v>
      </c>
      <c r="V159" s="2" t="s">
        <v>78</v>
      </c>
      <c r="W159" s="2" t="s">
        <v>87</v>
      </c>
      <c r="X159" s="2" t="b">
        <v>0</v>
      </c>
      <c r="Y159" s="2" t="s">
        <v>64</v>
      </c>
      <c r="Z159" s="2" t="s">
        <v>64</v>
      </c>
      <c r="AA159" s="2" t="s">
        <v>147</v>
      </c>
      <c r="AB159" s="2" t="s">
        <v>45</v>
      </c>
      <c r="AC159" s="2"/>
      <c r="AD159" s="2" t="s">
        <v>81</v>
      </c>
      <c r="AE159" s="2" t="s">
        <v>54</v>
      </c>
      <c r="AF159" s="2" t="s">
        <v>54</v>
      </c>
      <c r="AG159" s="2"/>
      <c r="AH159" s="2" t="s">
        <v>54</v>
      </c>
      <c r="AI159" s="2" t="s">
        <v>54</v>
      </c>
      <c r="AJ159" s="2"/>
      <c r="AK159" s="2">
        <v>2</v>
      </c>
      <c r="AL159" s="2" t="s">
        <v>82</v>
      </c>
      <c r="AM159" s="2" t="s">
        <v>57</v>
      </c>
      <c r="AN159" s="2" t="s">
        <v>54</v>
      </c>
      <c r="AO159" s="2">
        <v>0</v>
      </c>
      <c r="AP159" s="2" t="s">
        <v>54</v>
      </c>
      <c r="AQ159" s="2" t="s">
        <v>165</v>
      </c>
    </row>
    <row r="160" spans="1:43" x14ac:dyDescent="0.2">
      <c r="A160" s="2">
        <v>62</v>
      </c>
      <c r="B160" s="2" t="s">
        <v>163</v>
      </c>
      <c r="C160" s="2" t="s">
        <v>44</v>
      </c>
      <c r="D160" s="2" t="s">
        <v>45</v>
      </c>
      <c r="E160" s="2"/>
      <c r="F160" s="2">
        <v>2676922</v>
      </c>
      <c r="G160" s="2" t="s">
        <v>46</v>
      </c>
      <c r="H160" s="3">
        <v>18027</v>
      </c>
      <c r="I160" s="2" t="s">
        <v>313</v>
      </c>
      <c r="J160" s="2" t="s">
        <v>314</v>
      </c>
      <c r="K160" s="2" t="s">
        <v>61</v>
      </c>
      <c r="L160" s="2">
        <v>1</v>
      </c>
      <c r="M160" s="2">
        <v>4</v>
      </c>
      <c r="N160" s="2"/>
      <c r="O160" s="2"/>
      <c r="P160" s="2">
        <v>12</v>
      </c>
      <c r="Q160" s="2">
        <v>27</v>
      </c>
      <c r="R160" s="2">
        <v>110</v>
      </c>
      <c r="S160" s="2" t="s">
        <v>62</v>
      </c>
      <c r="T160" s="2"/>
      <c r="U160" s="2"/>
      <c r="V160" s="2" t="s">
        <v>78</v>
      </c>
      <c r="W160" s="2" t="s">
        <v>79</v>
      </c>
      <c r="X160" s="2" t="b">
        <v>0</v>
      </c>
      <c r="Y160" s="2" t="s">
        <v>53</v>
      </c>
      <c r="Z160" s="2"/>
      <c r="AA160" s="2"/>
      <c r="AB160" s="2" t="s">
        <v>45</v>
      </c>
      <c r="AC160" s="2"/>
      <c r="AD160" s="2" t="s">
        <v>81</v>
      </c>
      <c r="AE160" s="2" t="s">
        <v>54</v>
      </c>
      <c r="AF160" s="2" t="s">
        <v>54</v>
      </c>
      <c r="AG160" s="2"/>
      <c r="AH160" s="2" t="s">
        <v>54</v>
      </c>
      <c r="AI160" s="2" t="s">
        <v>55</v>
      </c>
      <c r="AJ160" s="2"/>
      <c r="AK160" s="2">
        <v>0</v>
      </c>
      <c r="AL160" s="2" t="s">
        <v>57</v>
      </c>
      <c r="AM160" s="2" t="s">
        <v>57</v>
      </c>
      <c r="AN160" s="2" t="s">
        <v>54</v>
      </c>
      <c r="AO160" s="2">
        <v>0</v>
      </c>
      <c r="AP160" s="2" t="s">
        <v>54</v>
      </c>
      <c r="AQ160" s="2" t="s">
        <v>58</v>
      </c>
    </row>
    <row r="161" spans="1:43" x14ac:dyDescent="0.2">
      <c r="A161" s="2">
        <v>61</v>
      </c>
      <c r="B161" s="2" t="s">
        <v>163</v>
      </c>
      <c r="C161" s="2" t="s">
        <v>44</v>
      </c>
      <c r="D161" s="2" t="s">
        <v>45</v>
      </c>
      <c r="E161" s="2"/>
      <c r="F161" s="2">
        <v>1485606</v>
      </c>
      <c r="G161" s="2" t="s">
        <v>46</v>
      </c>
      <c r="H161" s="3">
        <v>15537</v>
      </c>
      <c r="I161" s="2" t="s">
        <v>315</v>
      </c>
      <c r="J161" s="2" t="s">
        <v>316</v>
      </c>
      <c r="K161" s="2" t="s">
        <v>61</v>
      </c>
      <c r="L161" s="2">
        <v>10</v>
      </c>
      <c r="M161" s="2">
        <v>3</v>
      </c>
      <c r="N161" s="2"/>
      <c r="O161" s="2"/>
      <c r="P161" s="2">
        <v>42</v>
      </c>
      <c r="Q161" s="2">
        <v>69</v>
      </c>
      <c r="R161" s="2">
        <v>65</v>
      </c>
      <c r="S161" s="2" t="s">
        <v>50</v>
      </c>
      <c r="T161" s="2"/>
      <c r="U161" s="2"/>
      <c r="V161" s="2" t="s">
        <v>63</v>
      </c>
      <c r="W161" s="2" t="s">
        <v>85</v>
      </c>
      <c r="X161" s="2" t="b">
        <v>0</v>
      </c>
      <c r="Y161" s="2" t="s">
        <v>53</v>
      </c>
      <c r="Z161" s="2" t="s">
        <v>64</v>
      </c>
      <c r="AA161" s="2"/>
      <c r="AB161" s="2" t="s">
        <v>45</v>
      </c>
      <c r="AC161" s="2"/>
      <c r="AD161" s="2" t="s">
        <v>66</v>
      </c>
      <c r="AE161" s="2" t="s">
        <v>54</v>
      </c>
      <c r="AF161" s="2" t="s">
        <v>55</v>
      </c>
      <c r="AG161" s="2" t="s">
        <v>317</v>
      </c>
      <c r="AH161" s="2" t="s">
        <v>54</v>
      </c>
      <c r="AI161" s="2" t="s">
        <v>55</v>
      </c>
      <c r="AJ161" s="2">
        <v>12</v>
      </c>
      <c r="AK161" s="2">
        <v>0</v>
      </c>
      <c r="AL161" s="2" t="s">
        <v>82</v>
      </c>
      <c r="AM161" s="2" t="s">
        <v>57</v>
      </c>
      <c r="AN161" s="2" t="s">
        <v>54</v>
      </c>
      <c r="AO161" s="2">
        <v>0</v>
      </c>
      <c r="AP161" s="2" t="s">
        <v>54</v>
      </c>
      <c r="AQ161" s="2" t="s">
        <v>58</v>
      </c>
    </row>
    <row r="162" spans="1:43" x14ac:dyDescent="0.2">
      <c r="A162" s="2">
        <v>60</v>
      </c>
      <c r="B162" s="2" t="s">
        <v>163</v>
      </c>
      <c r="C162" s="2" t="s">
        <v>44</v>
      </c>
      <c r="D162" s="2" t="s">
        <v>45</v>
      </c>
      <c r="E162" s="2"/>
      <c r="F162" s="2">
        <v>1387893</v>
      </c>
      <c r="G162" s="2" t="s">
        <v>46</v>
      </c>
      <c r="H162" s="3">
        <v>20673</v>
      </c>
      <c r="I162" s="2" t="s">
        <v>318</v>
      </c>
      <c r="J162" s="2" t="s">
        <v>319</v>
      </c>
      <c r="K162" s="2" t="s">
        <v>61</v>
      </c>
      <c r="L162" s="2"/>
      <c r="M162" s="2"/>
      <c r="N162" s="2"/>
      <c r="O162" s="2"/>
      <c r="P162" s="2"/>
      <c r="Q162" s="2">
        <v>20</v>
      </c>
      <c r="R162" s="2">
        <v>70</v>
      </c>
      <c r="S162" s="2" t="s">
        <v>50</v>
      </c>
      <c r="T162" s="2" t="s">
        <v>54</v>
      </c>
      <c r="U162" s="2" t="s">
        <v>54</v>
      </c>
      <c r="V162" s="2" t="s">
        <v>261</v>
      </c>
      <c r="W162" s="2" t="s">
        <v>85</v>
      </c>
      <c r="X162" s="2" t="b">
        <v>0</v>
      </c>
      <c r="Y162" s="2" t="s">
        <v>64</v>
      </c>
      <c r="Z162" s="2" t="s">
        <v>64</v>
      </c>
      <c r="AA162" s="2" t="s">
        <v>147</v>
      </c>
      <c r="AB162" s="2" t="s">
        <v>45</v>
      </c>
      <c r="AC162" s="2"/>
      <c r="AD162" s="2" t="s">
        <v>54</v>
      </c>
      <c r="AE162" s="2" t="s">
        <v>54</v>
      </c>
      <c r="AF162" s="2" t="s">
        <v>54</v>
      </c>
      <c r="AG162" s="2"/>
      <c r="AH162" s="2" t="s">
        <v>54</v>
      </c>
      <c r="AI162" s="2" t="s">
        <v>54</v>
      </c>
      <c r="AJ162" s="2"/>
      <c r="AK162" s="2">
        <v>0</v>
      </c>
      <c r="AL162" s="2" t="s">
        <v>194</v>
      </c>
      <c r="AM162" s="2" t="s">
        <v>57</v>
      </c>
      <c r="AN162" s="2" t="s">
        <v>54</v>
      </c>
      <c r="AO162" s="2">
        <v>0</v>
      </c>
      <c r="AP162" s="2" t="s">
        <v>54</v>
      </c>
      <c r="AQ162" s="2" t="s">
        <v>165</v>
      </c>
    </row>
    <row r="163" spans="1:43" x14ac:dyDescent="0.2">
      <c r="A163" s="2">
        <v>59</v>
      </c>
      <c r="B163" s="2" t="s">
        <v>163</v>
      </c>
      <c r="C163" s="2" t="s">
        <v>44</v>
      </c>
      <c r="D163" s="2" t="s">
        <v>45</v>
      </c>
      <c r="E163" s="2"/>
      <c r="F163" s="2">
        <v>1387893</v>
      </c>
      <c r="G163" s="2" t="s">
        <v>46</v>
      </c>
      <c r="H163" s="3">
        <v>20673</v>
      </c>
      <c r="I163" s="2" t="s">
        <v>320</v>
      </c>
      <c r="J163" s="2" t="s">
        <v>319</v>
      </c>
      <c r="K163" s="2" t="s">
        <v>61</v>
      </c>
      <c r="L163" s="2">
        <v>6</v>
      </c>
      <c r="M163" s="2">
        <v>12</v>
      </c>
      <c r="N163" s="2"/>
      <c r="O163" s="2"/>
      <c r="P163" s="2"/>
      <c r="Q163" s="2">
        <v>20</v>
      </c>
      <c r="R163" s="2">
        <v>70</v>
      </c>
      <c r="S163" s="2" t="s">
        <v>50</v>
      </c>
      <c r="T163" s="2" t="s">
        <v>54</v>
      </c>
      <c r="U163" s="2" t="s">
        <v>54</v>
      </c>
      <c r="V163" s="2" t="s">
        <v>261</v>
      </c>
      <c r="W163" s="2" t="s">
        <v>136</v>
      </c>
      <c r="X163" s="2" t="b">
        <v>0</v>
      </c>
      <c r="Y163" s="2" t="s">
        <v>64</v>
      </c>
      <c r="Z163" s="2" t="s">
        <v>64</v>
      </c>
      <c r="AA163" s="2" t="s">
        <v>147</v>
      </c>
      <c r="AB163" s="2" t="s">
        <v>45</v>
      </c>
      <c r="AC163" s="2"/>
      <c r="AD163" s="2" t="s">
        <v>54</v>
      </c>
      <c r="AE163" s="2" t="s">
        <v>54</v>
      </c>
      <c r="AF163" s="2" t="s">
        <v>54</v>
      </c>
      <c r="AG163" s="2"/>
      <c r="AH163" s="2" t="s">
        <v>54</v>
      </c>
      <c r="AI163" s="2" t="s">
        <v>54</v>
      </c>
      <c r="AJ163" s="2"/>
      <c r="AK163" s="2">
        <v>1</v>
      </c>
      <c r="AL163" s="2" t="s">
        <v>194</v>
      </c>
      <c r="AM163" s="2" t="s">
        <v>57</v>
      </c>
      <c r="AN163" s="2" t="s">
        <v>54</v>
      </c>
      <c r="AO163" s="2">
        <v>0</v>
      </c>
      <c r="AP163" s="2" t="s">
        <v>54</v>
      </c>
      <c r="AQ163" s="2" t="s">
        <v>58</v>
      </c>
    </row>
    <row r="164" spans="1:43" x14ac:dyDescent="0.2">
      <c r="A164" s="2">
        <v>58</v>
      </c>
      <c r="B164" s="2" t="s">
        <v>163</v>
      </c>
      <c r="C164" s="2" t="s">
        <v>44</v>
      </c>
      <c r="D164" s="2" t="s">
        <v>45</v>
      </c>
      <c r="E164" s="2"/>
      <c r="F164" s="2">
        <v>1187186</v>
      </c>
      <c r="G164" s="2" t="s">
        <v>59</v>
      </c>
      <c r="H164" s="3">
        <v>19292</v>
      </c>
      <c r="I164" s="2"/>
      <c r="J164" s="2" t="s">
        <v>321</v>
      </c>
      <c r="K164" s="2" t="s">
        <v>61</v>
      </c>
      <c r="L164" s="2"/>
      <c r="M164" s="2"/>
      <c r="N164" s="2"/>
      <c r="O164" s="2"/>
      <c r="P164" s="2"/>
      <c r="Q164" s="2">
        <v>50</v>
      </c>
      <c r="R164" s="2">
        <v>60</v>
      </c>
      <c r="S164" s="2" t="s">
        <v>50</v>
      </c>
      <c r="T164" s="2" t="s">
        <v>54</v>
      </c>
      <c r="U164" s="2" t="s">
        <v>54</v>
      </c>
      <c r="V164" s="2" t="s">
        <v>51</v>
      </c>
      <c r="W164" s="2" t="s">
        <v>52</v>
      </c>
      <c r="X164" s="2" t="b">
        <v>1</v>
      </c>
      <c r="Y164" s="2" t="s">
        <v>53</v>
      </c>
      <c r="Z164" s="2" t="s">
        <v>53</v>
      </c>
      <c r="AA164" s="2" t="s">
        <v>147</v>
      </c>
      <c r="AB164" s="2" t="s">
        <v>45</v>
      </c>
      <c r="AC164" s="2"/>
      <c r="AD164" s="2" t="s">
        <v>66</v>
      </c>
      <c r="AE164" s="2" t="s">
        <v>54</v>
      </c>
      <c r="AF164" s="2" t="s">
        <v>54</v>
      </c>
      <c r="AG164" s="2"/>
      <c r="AH164" s="2" t="s">
        <v>55</v>
      </c>
      <c r="AI164" s="2" t="s">
        <v>55</v>
      </c>
      <c r="AJ164" s="2"/>
      <c r="AK164" s="2">
        <v>4</v>
      </c>
      <c r="AL164" s="2" t="s">
        <v>322</v>
      </c>
      <c r="AM164" s="2" t="s">
        <v>57</v>
      </c>
      <c r="AN164" s="2" t="s">
        <v>55</v>
      </c>
      <c r="AO164" s="2">
        <v>0</v>
      </c>
      <c r="AP164" s="2" t="s">
        <v>55</v>
      </c>
      <c r="AQ164" s="2" t="s">
        <v>165</v>
      </c>
    </row>
    <row r="165" spans="1:43" x14ac:dyDescent="0.2">
      <c r="A165" s="2">
        <v>57</v>
      </c>
      <c r="B165" s="2" t="s">
        <v>43</v>
      </c>
      <c r="C165" s="2" t="s">
        <v>44</v>
      </c>
      <c r="D165" s="2" t="s">
        <v>45</v>
      </c>
      <c r="E165" s="2"/>
      <c r="F165" s="2">
        <v>46737565</v>
      </c>
      <c r="G165" s="2" t="s">
        <v>46</v>
      </c>
      <c r="H165" s="3">
        <v>19502</v>
      </c>
      <c r="I165" s="2"/>
      <c r="J165" s="2" t="s">
        <v>323</v>
      </c>
      <c r="K165" s="2" t="s">
        <v>49</v>
      </c>
      <c r="L165" s="2">
        <v>3</v>
      </c>
      <c r="M165" s="2">
        <v>12</v>
      </c>
      <c r="N165" s="2"/>
      <c r="O165" s="2"/>
      <c r="P165" s="2">
        <v>19</v>
      </c>
      <c r="Q165" s="2">
        <v>49</v>
      </c>
      <c r="R165" s="2">
        <v>27</v>
      </c>
      <c r="S165" s="2" t="s">
        <v>76</v>
      </c>
      <c r="T165" s="2"/>
      <c r="U165" s="2"/>
      <c r="V165" s="2" t="s">
        <v>261</v>
      </c>
      <c r="W165" s="2" t="s">
        <v>160</v>
      </c>
      <c r="X165" s="2" t="b">
        <v>0</v>
      </c>
      <c r="Y165" s="2" t="s">
        <v>64</v>
      </c>
      <c r="Z165" s="2" t="s">
        <v>64</v>
      </c>
      <c r="AA165" s="2"/>
      <c r="AB165" s="2" t="s">
        <v>45</v>
      </c>
      <c r="AC165" s="2" t="s">
        <v>80</v>
      </c>
      <c r="AD165" s="2" t="s">
        <v>54</v>
      </c>
      <c r="AE165" s="2" t="s">
        <v>210</v>
      </c>
      <c r="AF165" s="2" t="s">
        <v>54</v>
      </c>
      <c r="AG165" s="2"/>
      <c r="AH165" s="2" t="s">
        <v>54</v>
      </c>
      <c r="AI165" s="2" t="s">
        <v>54</v>
      </c>
      <c r="AJ165" s="2"/>
      <c r="AK165" s="2">
        <v>8</v>
      </c>
      <c r="AL165" s="2" t="s">
        <v>322</v>
      </c>
      <c r="AM165" s="2" t="s">
        <v>57</v>
      </c>
      <c r="AN165" s="2" t="s">
        <v>54</v>
      </c>
      <c r="AO165" s="2">
        <v>0</v>
      </c>
      <c r="AP165" s="2" t="s">
        <v>54</v>
      </c>
      <c r="AQ165" s="2" t="s">
        <v>58</v>
      </c>
    </row>
    <row r="166" spans="1:43" x14ac:dyDescent="0.2">
      <c r="A166" s="2">
        <v>56</v>
      </c>
      <c r="B166" s="2" t="s">
        <v>43</v>
      </c>
      <c r="C166" s="2" t="s">
        <v>44</v>
      </c>
      <c r="D166" s="2" t="s">
        <v>45</v>
      </c>
      <c r="E166" s="2"/>
      <c r="F166" s="2">
        <v>46738217</v>
      </c>
      <c r="G166" s="2" t="s">
        <v>46</v>
      </c>
      <c r="H166" s="3">
        <v>20706</v>
      </c>
      <c r="I166" s="2"/>
      <c r="J166" s="2" t="s">
        <v>324</v>
      </c>
      <c r="K166" s="2" t="s">
        <v>49</v>
      </c>
      <c r="L166" s="2">
        <v>3</v>
      </c>
      <c r="M166" s="2">
        <v>10</v>
      </c>
      <c r="N166" s="2"/>
      <c r="O166" s="2"/>
      <c r="P166" s="2"/>
      <c r="Q166" s="2">
        <v>24</v>
      </c>
      <c r="R166" s="2"/>
      <c r="S166" s="2" t="s">
        <v>76</v>
      </c>
      <c r="T166" s="2"/>
      <c r="U166" s="2"/>
      <c r="V166" s="2" t="s">
        <v>78</v>
      </c>
      <c r="W166" s="2" t="s">
        <v>52</v>
      </c>
      <c r="X166" s="2" t="b">
        <v>0</v>
      </c>
      <c r="Y166" s="2" t="s">
        <v>64</v>
      </c>
      <c r="Z166" s="2" t="s">
        <v>64</v>
      </c>
      <c r="AA166" s="2"/>
      <c r="AB166" s="2" t="s">
        <v>45</v>
      </c>
      <c r="AC166" s="2" t="s">
        <v>80</v>
      </c>
      <c r="AD166" s="2" t="s">
        <v>88</v>
      </c>
      <c r="AE166" s="2" t="s">
        <v>54</v>
      </c>
      <c r="AF166" s="2" t="s">
        <v>54</v>
      </c>
      <c r="AG166" s="2"/>
      <c r="AH166" s="2" t="s">
        <v>54</v>
      </c>
      <c r="AI166" s="2" t="s">
        <v>236</v>
      </c>
      <c r="AJ166" s="2"/>
      <c r="AK166" s="2">
        <v>5</v>
      </c>
      <c r="AL166" s="2" t="s">
        <v>74</v>
      </c>
      <c r="AM166" s="2" t="s">
        <v>57</v>
      </c>
      <c r="AN166" s="2" t="s">
        <v>54</v>
      </c>
      <c r="AO166" s="2">
        <v>0</v>
      </c>
      <c r="AP166" s="2" t="s">
        <v>54</v>
      </c>
      <c r="AQ166" s="2" t="s">
        <v>58</v>
      </c>
    </row>
    <row r="167" spans="1:43" x14ac:dyDescent="0.2">
      <c r="A167" s="2">
        <v>55</v>
      </c>
      <c r="B167" s="2" t="s">
        <v>43</v>
      </c>
      <c r="C167" s="2" t="s">
        <v>44</v>
      </c>
      <c r="D167" s="2" t="s">
        <v>45</v>
      </c>
      <c r="E167" s="2"/>
      <c r="F167" s="2">
        <v>46839445</v>
      </c>
      <c r="G167" s="2" t="s">
        <v>59</v>
      </c>
      <c r="H167" s="3">
        <v>18209</v>
      </c>
      <c r="I167" s="2"/>
      <c r="J167" s="2" t="s">
        <v>325</v>
      </c>
      <c r="K167" s="2" t="s">
        <v>49</v>
      </c>
      <c r="L167" s="2">
        <v>3</v>
      </c>
      <c r="M167" s="2">
        <v>12</v>
      </c>
      <c r="N167" s="2"/>
      <c r="O167" s="2"/>
      <c r="P167" s="2">
        <v>18</v>
      </c>
      <c r="Q167" s="2">
        <v>50</v>
      </c>
      <c r="R167" s="2">
        <v>60</v>
      </c>
      <c r="S167" s="2" t="s">
        <v>50</v>
      </c>
      <c r="T167" s="2"/>
      <c r="U167" s="2"/>
      <c r="V167" s="2" t="s">
        <v>78</v>
      </c>
      <c r="W167" s="2" t="s">
        <v>52</v>
      </c>
      <c r="X167" s="2" t="b">
        <v>0</v>
      </c>
      <c r="Y167" s="2" t="s">
        <v>64</v>
      </c>
      <c r="Z167" s="2" t="s">
        <v>64</v>
      </c>
      <c r="AA167" s="2" t="s">
        <v>124</v>
      </c>
      <c r="AB167" s="2" t="s">
        <v>45</v>
      </c>
      <c r="AC167" s="2" t="s">
        <v>80</v>
      </c>
      <c r="AD167" s="2" t="s">
        <v>81</v>
      </c>
      <c r="AE167" s="2" t="s">
        <v>54</v>
      </c>
      <c r="AF167" s="2" t="s">
        <v>54</v>
      </c>
      <c r="AG167" s="2"/>
      <c r="AH167" s="2" t="s">
        <v>54</v>
      </c>
      <c r="AI167" s="2" t="s">
        <v>54</v>
      </c>
      <c r="AJ167" s="2">
        <v>7</v>
      </c>
      <c r="AK167" s="2">
        <v>5</v>
      </c>
      <c r="AL167" s="2" t="s">
        <v>82</v>
      </c>
      <c r="AM167" s="2" t="s">
        <v>126</v>
      </c>
      <c r="AN167" s="2" t="s">
        <v>54</v>
      </c>
      <c r="AO167" s="2">
        <v>0</v>
      </c>
      <c r="AP167" s="2" t="s">
        <v>54</v>
      </c>
      <c r="AQ167" s="2" t="s">
        <v>58</v>
      </c>
    </row>
    <row r="168" spans="1:43" x14ac:dyDescent="0.2">
      <c r="A168" s="2">
        <v>54</v>
      </c>
      <c r="B168" s="2" t="s">
        <v>43</v>
      </c>
      <c r="C168" s="2" t="s">
        <v>145</v>
      </c>
      <c r="D168" s="2" t="s">
        <v>326</v>
      </c>
      <c r="E168" s="2"/>
      <c r="F168" s="2">
        <v>46984985</v>
      </c>
      <c r="G168" s="2" t="s">
        <v>59</v>
      </c>
      <c r="H168" s="3">
        <v>16704</v>
      </c>
      <c r="I168" s="2"/>
      <c r="J168" s="2" t="s">
        <v>327</v>
      </c>
      <c r="K168" s="2" t="s">
        <v>61</v>
      </c>
      <c r="L168" s="2">
        <v>6</v>
      </c>
      <c r="M168" s="2">
        <v>12</v>
      </c>
      <c r="N168" s="2"/>
      <c r="O168" s="2"/>
      <c r="P168" s="2"/>
      <c r="Q168" s="2">
        <v>30</v>
      </c>
      <c r="R168" s="2">
        <v>80</v>
      </c>
      <c r="S168" s="2" t="s">
        <v>50</v>
      </c>
      <c r="T168" s="2"/>
      <c r="U168" s="2"/>
      <c r="V168" s="2" t="s">
        <v>70</v>
      </c>
      <c r="W168" s="2" t="s">
        <v>52</v>
      </c>
      <c r="X168" s="2" t="b">
        <v>0</v>
      </c>
      <c r="Y168" s="2" t="s">
        <v>53</v>
      </c>
      <c r="Z168" s="2" t="s">
        <v>53</v>
      </c>
      <c r="AA168" s="2" t="s">
        <v>124</v>
      </c>
      <c r="AB168" s="2" t="s">
        <v>45</v>
      </c>
      <c r="AC168" s="2" t="s">
        <v>65</v>
      </c>
      <c r="AD168" s="2" t="s">
        <v>66</v>
      </c>
      <c r="AE168" s="2"/>
      <c r="AF168" s="2" t="s">
        <v>54</v>
      </c>
      <c r="AG168" s="2" t="s">
        <v>328</v>
      </c>
      <c r="AH168" s="2" t="s">
        <v>236</v>
      </c>
      <c r="AI168" s="2" t="s">
        <v>55</v>
      </c>
      <c r="AJ168" s="2">
        <v>3</v>
      </c>
      <c r="AK168" s="2">
        <v>5</v>
      </c>
      <c r="AL168" s="2" t="s">
        <v>82</v>
      </c>
      <c r="AM168" s="2" t="s">
        <v>126</v>
      </c>
      <c r="AN168" s="2" t="s">
        <v>55</v>
      </c>
      <c r="AO168" s="2">
        <v>3</v>
      </c>
      <c r="AP168" s="2" t="s">
        <v>88</v>
      </c>
      <c r="AQ168" s="2" t="s">
        <v>58</v>
      </c>
    </row>
    <row r="169" spans="1:43" x14ac:dyDescent="0.2">
      <c r="A169" s="2">
        <v>53</v>
      </c>
      <c r="B169" s="2" t="s">
        <v>43</v>
      </c>
      <c r="C169" s="2" t="s">
        <v>44</v>
      </c>
      <c r="D169" s="2" t="s">
        <v>45</v>
      </c>
      <c r="E169" s="2"/>
      <c r="F169" s="2">
        <v>45514049</v>
      </c>
      <c r="G169" s="2" t="s">
        <v>46</v>
      </c>
      <c r="H169" s="3">
        <v>20478</v>
      </c>
      <c r="I169" s="2"/>
      <c r="J169" s="2" t="s">
        <v>329</v>
      </c>
      <c r="K169" s="2"/>
      <c r="L169" s="2"/>
      <c r="M169" s="2"/>
      <c r="N169" s="2"/>
      <c r="O169" s="2"/>
      <c r="P169" s="2">
        <v>30</v>
      </c>
      <c r="Q169" s="2">
        <v>67</v>
      </c>
      <c r="R169" s="2">
        <v>100</v>
      </c>
      <c r="S169" s="2" t="s">
        <v>62</v>
      </c>
      <c r="T169" s="2"/>
      <c r="U169" s="2"/>
      <c r="V169" s="2" t="s">
        <v>51</v>
      </c>
      <c r="W169" s="2" t="s">
        <v>52</v>
      </c>
      <c r="X169" s="2" t="b">
        <v>0</v>
      </c>
      <c r="Y169" s="2" t="s">
        <v>53</v>
      </c>
      <c r="Z169" s="2"/>
      <c r="AA169" s="2" t="s">
        <v>124</v>
      </c>
      <c r="AB169" s="2" t="s">
        <v>45</v>
      </c>
      <c r="AC169" s="2" t="s">
        <v>65</v>
      </c>
      <c r="AD169" s="2" t="s">
        <v>66</v>
      </c>
      <c r="AE169" s="2" t="s">
        <v>54</v>
      </c>
      <c r="AF169" s="2" t="s">
        <v>54</v>
      </c>
      <c r="AG169" s="2" t="s">
        <v>178</v>
      </c>
      <c r="AH169" s="2" t="s">
        <v>55</v>
      </c>
      <c r="AI169" s="2" t="s">
        <v>55</v>
      </c>
      <c r="AJ169" s="2"/>
      <c r="AK169" s="2">
        <v>6</v>
      </c>
      <c r="AL169" s="2" t="s">
        <v>82</v>
      </c>
      <c r="AM169" s="2" t="s">
        <v>162</v>
      </c>
      <c r="AN169" s="2"/>
      <c r="AO169" s="2">
        <v>0</v>
      </c>
      <c r="AP169" s="2" t="s">
        <v>54</v>
      </c>
      <c r="AQ169" s="2" t="s">
        <v>58</v>
      </c>
    </row>
    <row r="170" spans="1:43" x14ac:dyDescent="0.2">
      <c r="A170" s="2">
        <v>52</v>
      </c>
      <c r="B170" s="2" t="s">
        <v>163</v>
      </c>
      <c r="C170" s="2" t="s">
        <v>44</v>
      </c>
      <c r="D170" s="2" t="s">
        <v>45</v>
      </c>
      <c r="E170" s="2"/>
      <c r="F170" s="2">
        <v>947754</v>
      </c>
      <c r="G170" s="2" t="s">
        <v>59</v>
      </c>
      <c r="H170" s="3">
        <v>15566</v>
      </c>
      <c r="I170" s="2" t="s">
        <v>330</v>
      </c>
      <c r="J170" s="2" t="s">
        <v>331</v>
      </c>
      <c r="K170" s="2" t="s">
        <v>49</v>
      </c>
      <c r="L170" s="2"/>
      <c r="M170" s="2"/>
      <c r="N170" s="2"/>
      <c r="O170" s="2"/>
      <c r="P170" s="2"/>
      <c r="Q170" s="2"/>
      <c r="R170" s="2">
        <v>0</v>
      </c>
      <c r="S170" s="2" t="s">
        <v>76</v>
      </c>
      <c r="T170" s="2" t="s">
        <v>54</v>
      </c>
      <c r="U170" s="2" t="s">
        <v>54</v>
      </c>
      <c r="V170" s="2" t="s">
        <v>63</v>
      </c>
      <c r="W170" s="2" t="s">
        <v>136</v>
      </c>
      <c r="X170" s="2" t="b">
        <v>1</v>
      </c>
      <c r="Y170" s="2" t="s">
        <v>64</v>
      </c>
      <c r="Z170" s="2" t="s">
        <v>53</v>
      </c>
      <c r="AA170" s="2" t="s">
        <v>147</v>
      </c>
      <c r="AB170" s="2" t="s">
        <v>45</v>
      </c>
      <c r="AC170" s="2" t="s">
        <v>80</v>
      </c>
      <c r="AD170" s="2"/>
      <c r="AE170" s="2" t="s">
        <v>100</v>
      </c>
      <c r="AF170" s="2" t="s">
        <v>55</v>
      </c>
      <c r="AG170" s="2" t="s">
        <v>149</v>
      </c>
      <c r="AH170" s="2" t="s">
        <v>54</v>
      </c>
      <c r="AI170" s="2" t="s">
        <v>54</v>
      </c>
      <c r="AJ170" s="2"/>
      <c r="AK170" s="2">
        <v>1</v>
      </c>
      <c r="AL170" s="2" t="s">
        <v>332</v>
      </c>
      <c r="AM170" s="2" t="s">
        <v>57</v>
      </c>
      <c r="AN170" s="2" t="s">
        <v>55</v>
      </c>
      <c r="AO170" s="2">
        <v>1</v>
      </c>
      <c r="AP170" s="2" t="s">
        <v>55</v>
      </c>
      <c r="AQ170" s="2" t="s">
        <v>58</v>
      </c>
    </row>
    <row r="171" spans="1:43" x14ac:dyDescent="0.2">
      <c r="A171" s="2">
        <v>51</v>
      </c>
      <c r="B171" s="2" t="s">
        <v>163</v>
      </c>
      <c r="C171" s="2" t="s">
        <v>44</v>
      </c>
      <c r="D171" s="2" t="s">
        <v>45</v>
      </c>
      <c r="E171" s="2"/>
      <c r="F171" s="2">
        <v>627893</v>
      </c>
      <c r="G171" s="2" t="s">
        <v>46</v>
      </c>
      <c r="H171" s="3">
        <v>25922</v>
      </c>
      <c r="I171" s="2" t="s">
        <v>333</v>
      </c>
      <c r="J171" s="2" t="s">
        <v>334</v>
      </c>
      <c r="K171" s="2" t="s">
        <v>61</v>
      </c>
      <c r="L171" s="2">
        <v>12</v>
      </c>
      <c r="M171" s="2">
        <v>12</v>
      </c>
      <c r="N171" s="2"/>
      <c r="O171" s="2"/>
      <c r="P171" s="2"/>
      <c r="Q171" s="2">
        <v>100</v>
      </c>
      <c r="R171" s="2">
        <v>70</v>
      </c>
      <c r="S171" s="2" t="s">
        <v>159</v>
      </c>
      <c r="T171" s="2" t="s">
        <v>54</v>
      </c>
      <c r="U171" s="2" t="s">
        <v>54</v>
      </c>
      <c r="V171" s="2" t="s">
        <v>51</v>
      </c>
      <c r="W171" s="2" t="s">
        <v>85</v>
      </c>
      <c r="X171" s="2" t="b">
        <v>1</v>
      </c>
      <c r="Y171" s="2" t="s">
        <v>53</v>
      </c>
      <c r="Z171" s="2"/>
      <c r="AA171" s="2" t="s">
        <v>147</v>
      </c>
      <c r="AB171" s="2" t="s">
        <v>45</v>
      </c>
      <c r="AC171" s="2" t="s">
        <v>65</v>
      </c>
      <c r="AD171" s="2" t="s">
        <v>66</v>
      </c>
      <c r="AE171" s="2"/>
      <c r="AF171" s="2" t="s">
        <v>54</v>
      </c>
      <c r="AG171" s="2"/>
      <c r="AH171" s="2" t="s">
        <v>55</v>
      </c>
      <c r="AI171" s="2" t="s">
        <v>55</v>
      </c>
      <c r="AJ171" s="2"/>
      <c r="AK171" s="2">
        <v>0</v>
      </c>
      <c r="AL171" s="2" t="s">
        <v>131</v>
      </c>
      <c r="AM171" s="2" t="s">
        <v>57</v>
      </c>
      <c r="AN171" s="2" t="s">
        <v>55</v>
      </c>
      <c r="AO171" s="2">
        <v>1</v>
      </c>
      <c r="AP171" s="2" t="s">
        <v>54</v>
      </c>
      <c r="AQ171" s="2" t="s">
        <v>58</v>
      </c>
    </row>
    <row r="172" spans="1:43" x14ac:dyDescent="0.2">
      <c r="A172" s="2">
        <v>47</v>
      </c>
      <c r="B172" s="2" t="s">
        <v>163</v>
      </c>
      <c r="C172" s="2" t="s">
        <v>44</v>
      </c>
      <c r="D172" s="2" t="s">
        <v>45</v>
      </c>
      <c r="E172" s="2"/>
      <c r="F172" s="2">
        <v>537381</v>
      </c>
      <c r="G172" s="2" t="s">
        <v>59</v>
      </c>
      <c r="H172" s="3">
        <v>21341</v>
      </c>
      <c r="I172" s="2" t="s">
        <v>335</v>
      </c>
      <c r="J172" s="2" t="s">
        <v>336</v>
      </c>
      <c r="K172" s="2" t="s">
        <v>49</v>
      </c>
      <c r="L172" s="2"/>
      <c r="M172" s="2"/>
      <c r="N172" s="2"/>
      <c r="O172" s="2"/>
      <c r="P172" s="2"/>
      <c r="Q172" s="2">
        <v>52</v>
      </c>
      <c r="R172" s="2"/>
      <c r="S172" s="2" t="s">
        <v>50</v>
      </c>
      <c r="T172" s="2" t="s">
        <v>54</v>
      </c>
      <c r="U172" s="2" t="s">
        <v>54</v>
      </c>
      <c r="V172" s="2" t="s">
        <v>261</v>
      </c>
      <c r="W172" s="2" t="s">
        <v>79</v>
      </c>
      <c r="X172" s="2" t="b">
        <v>0</v>
      </c>
      <c r="Y172" s="2" t="s">
        <v>64</v>
      </c>
      <c r="Z172" s="2" t="s">
        <v>64</v>
      </c>
      <c r="AA172" s="2" t="s">
        <v>147</v>
      </c>
      <c r="AB172" s="2" t="s">
        <v>45</v>
      </c>
      <c r="AC172" s="2"/>
      <c r="AD172" s="2" t="s">
        <v>54</v>
      </c>
      <c r="AE172" s="2" t="s">
        <v>54</v>
      </c>
      <c r="AF172" s="2" t="s">
        <v>54</v>
      </c>
      <c r="AG172" s="2"/>
      <c r="AH172" s="2" t="s">
        <v>54</v>
      </c>
      <c r="AI172" s="2" t="s">
        <v>54</v>
      </c>
      <c r="AJ172" s="2"/>
      <c r="AK172" s="2">
        <v>0</v>
      </c>
      <c r="AL172" s="2" t="s">
        <v>57</v>
      </c>
      <c r="AM172" s="2" t="s">
        <v>57</v>
      </c>
      <c r="AN172" s="2" t="s">
        <v>54</v>
      </c>
      <c r="AO172" s="2">
        <v>0</v>
      </c>
      <c r="AP172" s="2" t="s">
        <v>54</v>
      </c>
      <c r="AQ172" s="2" t="s">
        <v>58</v>
      </c>
    </row>
    <row r="173" spans="1:43" x14ac:dyDescent="0.2">
      <c r="A173" s="2">
        <v>46</v>
      </c>
      <c r="B173" s="2" t="s">
        <v>163</v>
      </c>
      <c r="C173" s="2" t="s">
        <v>44</v>
      </c>
      <c r="D173" s="2" t="s">
        <v>45</v>
      </c>
      <c r="E173" s="2"/>
      <c r="F173" s="2">
        <v>236893</v>
      </c>
      <c r="G173" s="2" t="s">
        <v>59</v>
      </c>
      <c r="H173" s="3">
        <v>13796</v>
      </c>
      <c r="I173" s="2" t="s">
        <v>337</v>
      </c>
      <c r="J173" s="2" t="s">
        <v>338</v>
      </c>
      <c r="K173" s="2" t="s">
        <v>49</v>
      </c>
      <c r="L173" s="2"/>
      <c r="M173" s="2"/>
      <c r="N173" s="2">
        <v>15</v>
      </c>
      <c r="O173" s="2">
        <v>38</v>
      </c>
      <c r="P173" s="2"/>
      <c r="Q173" s="2">
        <v>45</v>
      </c>
      <c r="R173" s="2">
        <v>25</v>
      </c>
      <c r="S173" s="2" t="s">
        <v>50</v>
      </c>
      <c r="T173" s="2" t="s">
        <v>54</v>
      </c>
      <c r="U173" s="2" t="s">
        <v>54</v>
      </c>
      <c r="V173" s="2" t="s">
        <v>63</v>
      </c>
      <c r="W173" s="2" t="s">
        <v>85</v>
      </c>
      <c r="X173" s="2" t="b">
        <v>0</v>
      </c>
      <c r="Y173" s="2" t="s">
        <v>64</v>
      </c>
      <c r="Z173" s="2" t="s">
        <v>64</v>
      </c>
      <c r="AA173" s="2" t="s">
        <v>147</v>
      </c>
      <c r="AB173" s="2" t="s">
        <v>45</v>
      </c>
      <c r="AC173" s="2"/>
      <c r="AD173" s="2" t="s">
        <v>81</v>
      </c>
      <c r="AE173" s="2" t="s">
        <v>54</v>
      </c>
      <c r="AF173" s="2" t="s">
        <v>88</v>
      </c>
      <c r="AG173" s="2" t="s">
        <v>149</v>
      </c>
      <c r="AH173" s="2" t="s">
        <v>54</v>
      </c>
      <c r="AI173" s="2" t="s">
        <v>54</v>
      </c>
      <c r="AJ173" s="2"/>
      <c r="AK173" s="2">
        <v>0</v>
      </c>
      <c r="AL173" s="2" t="s">
        <v>339</v>
      </c>
      <c r="AM173" s="2" t="s">
        <v>57</v>
      </c>
      <c r="AN173" s="2" t="s">
        <v>54</v>
      </c>
      <c r="AO173" s="2">
        <v>0</v>
      </c>
      <c r="AP173" s="2" t="s">
        <v>54</v>
      </c>
      <c r="AQ173" s="2" t="s">
        <v>165</v>
      </c>
    </row>
    <row r="174" spans="1:43" x14ac:dyDescent="0.2">
      <c r="A174" s="2">
        <v>44</v>
      </c>
      <c r="B174" s="2" t="s">
        <v>340</v>
      </c>
      <c r="C174" s="2" t="s">
        <v>44</v>
      </c>
      <c r="D174" s="2" t="s">
        <v>45</v>
      </c>
      <c r="E174" s="2" t="s">
        <v>341</v>
      </c>
      <c r="F174" s="2">
        <v>5667889</v>
      </c>
      <c r="G174" s="2" t="s">
        <v>46</v>
      </c>
      <c r="H174" s="3">
        <v>27862</v>
      </c>
      <c r="I174" s="2" t="s">
        <v>342</v>
      </c>
      <c r="J174" s="2" t="s">
        <v>343</v>
      </c>
      <c r="K174" s="2"/>
      <c r="L174" s="2"/>
      <c r="M174" s="2"/>
      <c r="N174" s="2"/>
      <c r="O174" s="2"/>
      <c r="P174" s="2"/>
      <c r="Q174" s="2"/>
      <c r="R174" s="2"/>
      <c r="S174" s="2"/>
      <c r="T174" s="2" t="s">
        <v>54</v>
      </c>
      <c r="U174" s="2" t="s">
        <v>55</v>
      </c>
      <c r="V174" s="2" t="s">
        <v>63</v>
      </c>
      <c r="W174" s="2" t="s">
        <v>344</v>
      </c>
      <c r="X174" s="2" t="b">
        <v>0</v>
      </c>
      <c r="Y174" s="2" t="s">
        <v>53</v>
      </c>
      <c r="Z174" s="2" t="s">
        <v>64</v>
      </c>
      <c r="AA174" s="2" t="s">
        <v>124</v>
      </c>
      <c r="AB174" s="2" t="s">
        <v>45</v>
      </c>
      <c r="AC174" s="2"/>
      <c r="AD174" s="2" t="s">
        <v>66</v>
      </c>
      <c r="AE174" s="2" t="s">
        <v>345</v>
      </c>
      <c r="AF174" s="2" t="s">
        <v>54</v>
      </c>
      <c r="AG174" s="2" t="s">
        <v>346</v>
      </c>
      <c r="AH174" s="2" t="s">
        <v>236</v>
      </c>
      <c r="AI174" s="2" t="s">
        <v>55</v>
      </c>
      <c r="AJ174" s="2"/>
      <c r="AK174" s="2">
        <v>6</v>
      </c>
      <c r="AL174" s="2" t="s">
        <v>57</v>
      </c>
      <c r="AM174" s="2" t="s">
        <v>57</v>
      </c>
      <c r="AN174" s="2" t="s">
        <v>55</v>
      </c>
      <c r="AO174" s="2">
        <v>0</v>
      </c>
      <c r="AP174" s="2" t="s">
        <v>54</v>
      </c>
      <c r="AQ174" s="2" t="s">
        <v>58</v>
      </c>
    </row>
  </sheetData>
  <autoFilter ref="A1:AQ17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dataset.xlsx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Gabriele Tirrito</dc:creator>
  <cp:lastModifiedBy>Gabriele Tirrito</cp:lastModifiedBy>
  <dcterms:created xsi:type="dcterms:W3CDTF">2025-09-25T23:19:09Z</dcterms:created>
  <dcterms:modified xsi:type="dcterms:W3CDTF">2025-09-27T09:06:19Z</dcterms:modified>
</cp:coreProperties>
</file>